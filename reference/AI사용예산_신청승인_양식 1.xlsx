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oomi-my.sharepoint.com/personal/sjid_woomi_onmicrosoft_com/Documents/Microsoft Teams 채팅 파일/"/>
    </mc:Choice>
  </mc:AlternateContent>
  <xr:revisionPtr revIDLastSave="2" documentId="13_ncr:1_{BA232CF6-3A66-4E28-80BE-321896EFB75C}" xr6:coauthVersionLast="47" xr6:coauthVersionMax="47" xr10:uidLastSave="{44D9A8F8-20E6-491F-B6FC-FD06E4D75594}"/>
  <bookViews>
    <workbookView xWindow="-120" yWindow="-120" windowWidth="29040" windowHeight="15720" tabRatio="500" xr2:uid="{00000000-000D-0000-FFFF-FFFF00000000}"/>
  </bookViews>
  <sheets>
    <sheet name="① 신청서(양식)" sheetId="1" r:id="rId1"/>
    <sheet name="② 작성예시" sheetId="2" r:id="rId2"/>
    <sheet name="③ 요금제 단가표" sheetId="3" r:id="rId3"/>
    <sheet name="④ 처리 절차" sheetId="4" r:id="rId4"/>
  </sheets>
  <definedNames>
    <definedName name="_xlnm.Print_Area" localSheetId="0">'① 신청서(양식)'!$A$1:$J$42</definedName>
    <definedName name="_xlnm.Print_Area" localSheetId="1">'② 작성예시'!$A$1:$J$46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2" l="1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G20" i="2"/>
  <c r="H20" i="2" s="1"/>
  <c r="I20" i="2" s="1"/>
  <c r="G19" i="2"/>
  <c r="H19" i="2" s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9" i="2" l="1"/>
  <c r="H27" i="2"/>
  <c r="G27" i="2"/>
  <c r="H27" i="1"/>
  <c r="G27" i="1"/>
  <c r="I27" i="1"/>
  <c r="I27" i="2"/>
</calcChain>
</file>

<file path=xl/sharedStrings.xml><?xml version="1.0" encoding="utf-8"?>
<sst xmlns="http://schemas.openxmlformats.org/spreadsheetml/2006/main" count="201" uniqueCount="148">
  <si>
    <r>
      <rPr>
        <b/>
        <sz val="16"/>
        <color rgb="FF1F3B57"/>
        <rFont val="맑은 고딕"/>
        <family val="3"/>
        <charset val="129"/>
      </rPr>
      <t xml:space="preserve">AI </t>
    </r>
    <r>
      <rPr>
        <b/>
        <sz val="16"/>
        <color rgb="FF1F3B57"/>
        <rFont val="Noto Sans CJK SC"/>
        <family val="2"/>
      </rPr>
      <t>사용 예산 지원 신청서</t>
    </r>
  </si>
  <si>
    <r>
      <rPr>
        <sz val="9"/>
        <color rgb="FF555555"/>
        <rFont val="Noto Sans CJK SC"/>
        <family val="2"/>
      </rPr>
      <t xml:space="preserve">※ 처리절차 </t>
    </r>
    <r>
      <rPr>
        <sz val="9"/>
        <color rgb="FF555555"/>
        <rFont val="맑은 고딕"/>
        <family val="3"/>
        <charset val="129"/>
      </rPr>
      <t xml:space="preserve">: </t>
    </r>
    <r>
      <rPr>
        <sz val="9"/>
        <color rgb="FF555555"/>
        <rFont val="Noto Sans CJK SC"/>
        <family val="2"/>
      </rPr>
      <t xml:space="preserve">신청부서 작성 → 부서장 승인 → </t>
    </r>
    <r>
      <rPr>
        <sz val="9"/>
        <color rgb="FF555555"/>
        <rFont val="맑은 고딕"/>
        <family val="3"/>
        <charset val="129"/>
      </rPr>
      <t>PI</t>
    </r>
    <r>
      <rPr>
        <sz val="9"/>
        <color rgb="FF555555"/>
        <rFont val="Noto Sans CJK SC"/>
        <family val="2"/>
      </rPr>
      <t>팀 사용계획 검토</t>
    </r>
    <r>
      <rPr>
        <sz val="9"/>
        <color rgb="FF555555"/>
        <rFont val="맑은 고딕"/>
        <family val="3"/>
        <charset val="129"/>
      </rPr>
      <t>(1</t>
    </r>
    <r>
      <rPr>
        <sz val="9"/>
        <color rgb="FF555555"/>
        <rFont val="Noto Sans CJK SC"/>
        <family val="2"/>
      </rPr>
      <t>차</t>
    </r>
    <r>
      <rPr>
        <sz val="9"/>
        <color rgb="FF555555"/>
        <rFont val="맑은 고딕"/>
        <family val="3"/>
        <charset val="129"/>
      </rPr>
      <t xml:space="preserve">) → </t>
    </r>
    <r>
      <rPr>
        <sz val="9"/>
        <color rgb="FF555555"/>
        <rFont val="Noto Sans CJK SC"/>
        <family val="2"/>
      </rPr>
      <t>경영기획팀 예산 심사 → 임원 승인 → 예산 편성</t>
    </r>
    <r>
      <rPr>
        <sz val="9"/>
        <color rgb="FF555555"/>
        <rFont val="맑은 고딕"/>
        <family val="3"/>
        <charset val="129"/>
      </rPr>
      <t>·</t>
    </r>
    <r>
      <rPr>
        <sz val="9"/>
        <color rgb="FF555555"/>
        <rFont val="Noto Sans CJK SC"/>
        <family val="2"/>
      </rPr>
      <t>집행 → 종료 후 실적보고</t>
    </r>
  </si>
  <si>
    <r>
      <rPr>
        <b/>
        <sz val="11"/>
        <color rgb="FFFFFFFF"/>
        <rFont val="맑은 고딕"/>
        <family val="3"/>
        <charset val="129"/>
      </rPr>
      <t xml:space="preserve">  1. </t>
    </r>
    <r>
      <rPr>
        <b/>
        <sz val="11"/>
        <color rgb="FFFFFFFF"/>
        <rFont val="Noto Sans CJK SC"/>
        <family val="2"/>
      </rPr>
      <t>신청 개요</t>
    </r>
  </si>
  <si>
    <t>신청부서</t>
  </si>
  <si>
    <t>신청일자</t>
  </si>
  <si>
    <r>
      <rPr>
        <b/>
        <sz val="10"/>
        <color rgb="FF000000"/>
        <rFont val="Noto Sans CJK SC"/>
        <family val="2"/>
      </rPr>
      <t>신청자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직위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Noto Sans CJK SC"/>
        <family val="2"/>
      </rPr>
      <t>성명</t>
    </r>
    <r>
      <rPr>
        <b/>
        <sz val="10"/>
        <color rgb="FF000000"/>
        <rFont val="맑은 고딕"/>
        <family val="3"/>
        <charset val="129"/>
      </rPr>
      <t>)</t>
    </r>
  </si>
  <si>
    <t>부서장</t>
  </si>
  <si>
    <t>사용 기간</t>
  </si>
  <si>
    <t>예산 구분</t>
  </si>
  <si>
    <t>예산 계정</t>
  </si>
  <si>
    <t>결제 수단</t>
  </si>
  <si>
    <r>
      <rPr>
        <sz val="9"/>
        <color rgb="FF777777"/>
        <rFont val="Noto Sans CJK SC"/>
        <family val="2"/>
      </rPr>
      <t xml:space="preserve">   ※ 예산 구분 </t>
    </r>
    <r>
      <rPr>
        <sz val="9"/>
        <color rgb="FF777777"/>
        <rFont val="맑은 고딕"/>
        <family val="3"/>
        <charset val="129"/>
      </rPr>
      <t xml:space="preserve">: </t>
    </r>
    <r>
      <rPr>
        <sz val="9"/>
        <color rgb="FF777777"/>
        <rFont val="Noto Sans CJK SC"/>
        <family val="2"/>
      </rPr>
      <t xml:space="preserve">판관비 추경 </t>
    </r>
    <r>
      <rPr>
        <sz val="9"/>
        <color rgb="FF777777"/>
        <rFont val="맑은 고딕"/>
        <family val="3"/>
        <charset val="129"/>
      </rPr>
      <t xml:space="preserve">/ </t>
    </r>
    <r>
      <rPr>
        <sz val="9"/>
        <color rgb="FF777777"/>
        <rFont val="Noto Sans CJK SC"/>
        <family val="2"/>
      </rPr>
      <t xml:space="preserve">부서 기편성예산 內 </t>
    </r>
    <r>
      <rPr>
        <sz val="9"/>
        <color rgb="FF777777"/>
        <rFont val="맑은 고딕"/>
        <family val="3"/>
        <charset val="129"/>
      </rPr>
      <t xml:space="preserve">/ </t>
    </r>
    <r>
      <rPr>
        <sz val="9"/>
        <color rgb="FF777777"/>
        <rFont val="Noto Sans CJK SC"/>
        <family val="2"/>
      </rPr>
      <t>임원 예산 中 택</t>
    </r>
    <r>
      <rPr>
        <sz val="9"/>
        <color rgb="FF777777"/>
        <rFont val="맑은 고딕"/>
        <family val="3"/>
        <charset val="129"/>
      </rPr>
      <t xml:space="preserve">1   ※ </t>
    </r>
    <r>
      <rPr>
        <sz val="9"/>
        <color rgb="FF777777"/>
        <rFont val="Noto Sans CJK SC"/>
        <family val="2"/>
      </rPr>
      <t xml:space="preserve">사용 기간은 </t>
    </r>
    <r>
      <rPr>
        <sz val="9"/>
        <color rgb="FF777777"/>
        <rFont val="맑은 고딕"/>
        <family val="3"/>
        <charset val="129"/>
      </rPr>
      <t>1~2</t>
    </r>
    <r>
      <rPr>
        <sz val="9"/>
        <color rgb="FF777777"/>
        <rFont val="Noto Sans CJK SC"/>
        <family val="2"/>
      </rPr>
      <t>개월 시범 사용 후 연장</t>
    </r>
    <r>
      <rPr>
        <sz val="9"/>
        <color rgb="FF777777"/>
        <rFont val="맑은 고딕"/>
        <family val="3"/>
        <charset val="129"/>
      </rPr>
      <t>·</t>
    </r>
    <r>
      <rPr>
        <sz val="9"/>
        <color rgb="FF777777"/>
        <rFont val="Noto Sans CJK SC"/>
        <family val="2"/>
      </rPr>
      <t>상향 재신청을 원칙으로 함</t>
    </r>
  </si>
  <si>
    <r>
      <rPr>
        <b/>
        <sz val="11"/>
        <color rgb="FFFFFFFF"/>
        <rFont val="맑은 고딕"/>
        <family val="3"/>
        <charset val="129"/>
      </rPr>
      <t xml:space="preserve">  2. </t>
    </r>
    <r>
      <rPr>
        <b/>
        <sz val="11"/>
        <color rgb="FFFFFFFF"/>
        <rFont val="Noto Sans CJK SC"/>
        <family val="2"/>
      </rPr>
      <t>사용 목적 및 기대효과</t>
    </r>
  </si>
  <si>
    <r>
      <rPr>
        <b/>
        <sz val="10"/>
        <color rgb="FF000000"/>
        <rFont val="Noto Sans CJK SC"/>
        <family val="2"/>
      </rPr>
      <t xml:space="preserve">사용 목적
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만들고자 하는 결과물</t>
    </r>
    <r>
      <rPr>
        <b/>
        <sz val="10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</si>
  <si>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 xml:space="preserve">적용 업무 </t>
    </r>
    <r>
      <rPr>
        <b/>
        <sz val="10"/>
        <color rgb="FF000000"/>
        <rFont val="맑은 고딕"/>
        <family val="3"/>
        <charset val="129"/>
      </rPr>
      <t xml:space="preserve">· </t>
    </r>
    <r>
      <rPr>
        <b/>
        <sz val="10"/>
        <color rgb="FF000000"/>
        <rFont val="Noto Sans CJK SC"/>
        <family val="2"/>
      </rPr>
      <t>범위</t>
    </r>
  </si>
  <si>
    <r>
      <rPr>
        <b/>
        <sz val="10"/>
        <color rgb="FF000000"/>
        <rFont val="Noto Sans CJK SC"/>
        <family val="2"/>
      </rPr>
      <t>기대효과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정량</t>
    </r>
    <r>
      <rPr>
        <b/>
        <sz val="10"/>
        <color rgb="FF000000"/>
        <rFont val="맑은 고딕"/>
        <family val="3"/>
        <charset val="129"/>
      </rPr>
      <t>)</t>
    </r>
  </si>
  <si>
    <t>기존 요금제로 불가한 사유</t>
  </si>
  <si>
    <r>
      <rPr>
        <b/>
        <sz val="11"/>
        <color rgb="FFFFFFFF"/>
        <rFont val="맑은 고딕"/>
        <family val="3"/>
        <charset val="129"/>
      </rPr>
      <t xml:space="preserve">  3. </t>
    </r>
    <r>
      <rPr>
        <b/>
        <sz val="11"/>
        <color rgb="FFFFFFFF"/>
        <rFont val="Noto Sans CJK SC"/>
        <family val="2"/>
      </rPr>
      <t>소요 예산 산출</t>
    </r>
  </si>
  <si>
    <t>No</t>
  </si>
  <si>
    <r>
      <rPr>
        <b/>
        <sz val="9"/>
        <color rgb="FFFFFFFF"/>
        <rFont val="Noto Sans CJK SC"/>
        <family val="2"/>
      </rPr>
      <t>사용자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직위</t>
    </r>
    <r>
      <rPr>
        <b/>
        <sz val="9"/>
        <color rgb="FFFFFFFF"/>
        <rFont val="맑은 고딕"/>
        <family val="3"/>
        <charset val="129"/>
      </rPr>
      <t>·</t>
    </r>
    <r>
      <rPr>
        <b/>
        <sz val="9"/>
        <color rgb="FFFFFFFF"/>
        <rFont val="Noto Sans CJK SC"/>
        <family val="2"/>
      </rPr>
      <t>성명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</si>
  <si>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도구 </t>
    </r>
    <r>
      <rPr>
        <b/>
        <sz val="9"/>
        <color rgb="FFFFFFFF"/>
        <rFont val="맑은 고딕"/>
        <family val="3"/>
        <charset val="129"/>
      </rPr>
      <t xml:space="preserve">· </t>
    </r>
    <r>
      <rPr>
        <b/>
        <sz val="9"/>
        <color rgb="FFFFFFFF"/>
        <rFont val="Noto Sans CJK SC"/>
        <family val="2"/>
      </rPr>
      <t xml:space="preserve">요금제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복수 시 병기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</si>
  <si>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>월 단가 합계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맑은 고딕"/>
        <family val="3"/>
        <charset val="129"/>
      </rPr>
      <t>)</t>
    </r>
  </si>
  <si>
    <t>사용
개월</t>
  </si>
  <si>
    <r>
      <rPr>
        <b/>
        <sz val="9"/>
        <color rgb="FFFFFFFF"/>
        <rFont val="Noto Sans CJK SC"/>
        <family val="2"/>
      </rPr>
      <t>소요액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</si>
  <si>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기지원 차감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개인지원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</si>
  <si>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>추가 소요액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원</t>
    </r>
    <r>
      <rPr>
        <b/>
        <sz val="9"/>
        <color rgb="FFFFFFFF"/>
        <rFont val="맑은 고딕"/>
        <family val="3"/>
        <charset val="129"/>
      </rPr>
      <t>)</t>
    </r>
  </si>
  <si>
    <t>비고</t>
  </si>
  <si>
    <t>합    계</t>
  </si>
  <si>
    <r>
      <rPr>
        <sz val="9"/>
        <color rgb="FF777777"/>
        <rFont val="맑은 고딕"/>
        <family val="3"/>
        <charset val="129"/>
      </rPr>
      <t xml:space="preserve">   ※ 1</t>
    </r>
    <r>
      <rPr>
        <sz val="9"/>
        <color rgb="FF777777"/>
        <rFont val="Noto Sans CJK SC"/>
        <family val="2"/>
      </rPr>
      <t xml:space="preserve">인 </t>
    </r>
    <r>
      <rPr>
        <sz val="9"/>
        <color rgb="FF777777"/>
        <rFont val="맑은 고딕"/>
        <family val="3"/>
        <charset val="129"/>
      </rPr>
      <t>1</t>
    </r>
    <r>
      <rPr>
        <sz val="9"/>
        <color rgb="FF777777"/>
        <rFont val="Noto Sans CJK SC"/>
        <family val="2"/>
      </rPr>
      <t>행 작성</t>
    </r>
    <r>
      <rPr>
        <sz val="9"/>
        <color rgb="FF777777"/>
        <rFont val="맑은 고딕"/>
        <family val="3"/>
        <charset val="129"/>
      </rPr>
      <t>(</t>
    </r>
    <r>
      <rPr>
        <sz val="9"/>
        <color rgb="FF777777"/>
        <rFont val="Noto Sans CJK SC"/>
        <family val="2"/>
      </rPr>
      <t xml:space="preserve">도구 </t>
    </r>
    <r>
      <rPr>
        <sz val="9"/>
        <color rgb="FF777777"/>
        <rFont val="맑은 고딕"/>
        <family val="3"/>
        <charset val="129"/>
      </rPr>
      <t>2</t>
    </r>
    <r>
      <rPr>
        <sz val="9"/>
        <color rgb="FF777777"/>
        <rFont val="Noto Sans CJK SC"/>
        <family val="2"/>
      </rPr>
      <t>개 이상 시 단가 합산 기재</t>
    </r>
    <r>
      <rPr>
        <sz val="9"/>
        <color rgb="FF777777"/>
        <rFont val="맑은 고딕"/>
        <family val="3"/>
        <charset val="129"/>
      </rPr>
      <t xml:space="preserve">) · </t>
    </r>
    <r>
      <rPr>
        <sz val="9"/>
        <color rgb="FF777777"/>
        <rFont val="Noto Sans CJK SC"/>
        <family val="2"/>
      </rPr>
      <t xml:space="preserve">월 단가는 </t>
    </r>
    <r>
      <rPr>
        <sz val="9"/>
        <color rgb="FF777777"/>
        <rFont val="맑은 고딕"/>
        <family val="3"/>
        <charset val="129"/>
      </rPr>
      <t>VAT·</t>
    </r>
    <r>
      <rPr>
        <sz val="9"/>
        <color rgb="FF777777"/>
        <rFont val="Noto Sans CJK SC"/>
        <family val="2"/>
      </rPr>
      <t xml:space="preserve">환율 포함 실결제 예상액 기준 </t>
    </r>
    <r>
      <rPr>
        <sz val="9"/>
        <color rgb="FF777777"/>
        <rFont val="맑은 고딕"/>
        <family val="3"/>
        <charset val="129"/>
      </rPr>
      <t>(</t>
    </r>
    <r>
      <rPr>
        <sz val="9"/>
        <color rgb="FF777777"/>
        <rFont val="Noto Sans CJK SC"/>
        <family val="2"/>
      </rPr>
      <t>「요금제 단가표」 시트 참조</t>
    </r>
    <r>
      <rPr>
        <sz val="9"/>
        <color rgb="FF777777"/>
        <rFont val="맑은 고딕"/>
        <family val="3"/>
        <charset val="129"/>
      </rPr>
      <t xml:space="preserve">)
   ※ </t>
    </r>
    <r>
      <rPr>
        <sz val="9"/>
        <color rgb="FF777777"/>
        <rFont val="Noto Sans CJK SC"/>
        <family val="2"/>
      </rPr>
      <t xml:space="preserve">「추가 소요액」 </t>
    </r>
    <r>
      <rPr>
        <sz val="9"/>
        <color rgb="FF777777"/>
        <rFont val="맑은 고딕"/>
        <family val="3"/>
        <charset val="129"/>
      </rPr>
      <t xml:space="preserve">= </t>
    </r>
    <r>
      <rPr>
        <sz val="9"/>
        <color rgb="FF777777"/>
        <rFont val="Noto Sans CJK SC"/>
        <family val="2"/>
      </rPr>
      <t xml:space="preserve">소요액 </t>
    </r>
    <r>
      <rPr>
        <sz val="9"/>
        <color rgb="FF777777"/>
        <rFont val="맑은 고딕"/>
        <family val="3"/>
        <charset val="129"/>
      </rPr>
      <t xml:space="preserve">- </t>
    </r>
    <r>
      <rPr>
        <sz val="9"/>
        <color rgb="FF777777"/>
        <rFont val="Noto Sans CJK SC"/>
        <family val="2"/>
      </rPr>
      <t>기지원 차감액 → 실제 신청 금액</t>
    </r>
  </si>
  <si>
    <r>
      <rPr>
        <b/>
        <sz val="10"/>
        <color rgb="FF000000"/>
        <rFont val="맑은 고딕"/>
        <family val="3"/>
        <charset val="129"/>
      </rPr>
      <t>[</t>
    </r>
    <r>
      <rPr>
        <b/>
        <sz val="10"/>
        <color rgb="FF000000"/>
        <rFont val="Noto Sans CJK SC"/>
        <family val="2"/>
      </rPr>
      <t>가정</t>
    </r>
    <r>
      <rPr>
        <b/>
        <sz val="10"/>
        <color rgb="FF000000"/>
        <rFont val="맑은 고딕"/>
        <family val="3"/>
        <charset val="129"/>
      </rPr>
      <t xml:space="preserve">] </t>
    </r>
    <r>
      <rPr>
        <b/>
        <sz val="10"/>
        <color rgb="FF000000"/>
        <rFont val="Noto Sans CJK SC"/>
        <family val="2"/>
      </rPr>
      <t>회사 개인지원 단가</t>
    </r>
    <r>
      <rPr>
        <b/>
        <sz val="10"/>
        <color rgb="FF000000"/>
        <rFont val="맑은 고딕"/>
        <family val="3"/>
        <charset val="129"/>
      </rPr>
      <t>(</t>
    </r>
    <r>
      <rPr>
        <b/>
        <sz val="10"/>
        <color rgb="FF000000"/>
        <rFont val="Noto Sans CJK SC"/>
        <family val="2"/>
      </rPr>
      <t>월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Noto Sans CJK SC"/>
        <family val="2"/>
      </rPr>
      <t>인</t>
    </r>
    <r>
      <rPr>
        <b/>
        <sz val="10"/>
        <color rgb="FF000000"/>
        <rFont val="맑은 고딕"/>
        <family val="3"/>
        <charset val="129"/>
      </rPr>
      <t>)</t>
    </r>
  </si>
  <si>
    <r>
      <rPr>
        <sz val="9"/>
        <color rgb="FF777777"/>
        <rFont val="Noto Sans CJK SC"/>
        <family val="2"/>
      </rPr>
      <t xml:space="preserve">  중복지원 방지를 위해 기지원액을 차감함 </t>
    </r>
    <r>
      <rPr>
        <sz val="9"/>
        <color rgb="FF777777"/>
        <rFont val="맑은 고딕"/>
        <family val="3"/>
        <charset val="129"/>
      </rPr>
      <t>(</t>
    </r>
    <r>
      <rPr>
        <sz val="9"/>
        <color rgb="FF777777"/>
        <rFont val="Noto Sans CJK SC"/>
        <family val="2"/>
      </rPr>
      <t>금액 변경 시 이 셀만 수정</t>
    </r>
    <r>
      <rPr>
        <sz val="9"/>
        <color rgb="FF777777"/>
        <rFont val="맑은 고딕"/>
        <family val="3"/>
        <charset val="129"/>
      </rPr>
      <t>)</t>
    </r>
  </si>
  <si>
    <r>
      <rPr>
        <b/>
        <sz val="11"/>
        <color rgb="FFFFFFFF"/>
        <rFont val="맑은 고딕"/>
        <family val="3"/>
        <charset val="129"/>
      </rPr>
      <t xml:space="preserve">  4. </t>
    </r>
    <r>
      <rPr>
        <b/>
        <sz val="11"/>
        <color rgb="FFFFFFFF"/>
        <rFont val="Noto Sans CJK SC"/>
        <family val="2"/>
      </rPr>
      <t xml:space="preserve">정산 </t>
    </r>
    <r>
      <rPr>
        <b/>
        <sz val="11"/>
        <color rgb="FFFFFFFF"/>
        <rFont val="맑은 고딕"/>
        <family val="3"/>
        <charset val="129"/>
      </rPr>
      <t xml:space="preserve">· </t>
    </r>
    <r>
      <rPr>
        <b/>
        <sz val="11"/>
        <color rgb="FFFFFFFF"/>
        <rFont val="Noto Sans CJK SC"/>
        <family val="2"/>
      </rPr>
      <t xml:space="preserve">실적보고 약정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신청부서 이행사항</t>
    </r>
    <r>
      <rPr>
        <b/>
        <sz val="11"/>
        <color rgb="FFFFFFFF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</si>
  <si>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사용 종료 후 </t>
    </r>
    <r>
      <rPr>
        <sz val="9"/>
        <color rgb="FF000000"/>
        <rFont val="맑은 고딕"/>
        <family val="3"/>
        <charset val="129"/>
      </rPr>
      <t>2</t>
    </r>
    <r>
      <rPr>
        <sz val="9"/>
        <color rgb="FF000000"/>
        <rFont val="Noto Sans CJK SC"/>
        <family val="2"/>
      </rPr>
      <t xml:space="preserve">주 이내 실적보고서 제출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산출물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활용 건수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절감효과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계속사용 여부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</si>
  <si>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>월 사용량 및 결제내역을 부서 자체 관리하고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요청 시 경영기획팀에 제출</t>
    </r>
  </si>
  <si>
    <r>
      <rPr>
        <sz val="9"/>
        <color rgb="FF000000"/>
        <rFont val="Noto Sans CJK SC"/>
        <family val="2"/>
      </rPr>
      <t>미사용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저조 시 즉시 요금제 하향 또는 구독 해지 후 잔여예산 반납</t>
    </r>
  </si>
  <si>
    <r>
      <rPr>
        <sz val="9"/>
        <color rgb="FF000000"/>
        <rFont val="Noto Sans CJK SC"/>
        <family val="2"/>
      </rPr>
      <t xml:space="preserve">연장 또는 요금제 상향이 필요한 경우 종료 </t>
    </r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개월 전 재신청</t>
    </r>
  </si>
  <si>
    <r>
      <rPr>
        <b/>
        <sz val="11"/>
        <color rgb="FFFFFFFF"/>
        <rFont val="맑은 고딕"/>
        <family val="3"/>
        <charset val="129"/>
      </rPr>
      <t xml:space="preserve">  5. </t>
    </r>
    <r>
      <rPr>
        <b/>
        <sz val="11"/>
        <color rgb="FFFFFFFF"/>
        <rFont val="Noto Sans CJK SC"/>
        <family val="2"/>
      </rPr>
      <t>검토 및 승인</t>
    </r>
  </si>
  <si>
    <r>
      <rPr>
        <b/>
        <sz val="10"/>
        <color rgb="FF000000"/>
        <rFont val="맑은 고딕"/>
        <family val="3"/>
        <charset val="129"/>
      </rPr>
      <t>PI</t>
    </r>
    <r>
      <rPr>
        <b/>
        <sz val="10"/>
        <color rgb="FF000000"/>
        <rFont val="Noto Sans CJK SC"/>
        <family val="2"/>
      </rPr>
      <t xml:space="preserve">팀
</t>
    </r>
    <r>
      <rPr>
        <b/>
        <sz val="10"/>
        <color rgb="FF000000"/>
        <rFont val="맑은 고딕"/>
        <family val="3"/>
        <charset val="129"/>
      </rPr>
      <t>1</t>
    </r>
    <r>
      <rPr>
        <b/>
        <sz val="10"/>
        <color rgb="FF000000"/>
        <rFont val="Noto Sans CJK SC"/>
        <family val="2"/>
      </rPr>
      <t>차 검토</t>
    </r>
  </si>
  <si>
    <r>
      <rPr>
        <sz val="9"/>
        <color rgb="FF000000"/>
        <rFont val="Noto Sans CJK SC"/>
        <family val="2"/>
      </rPr>
      <t xml:space="preserve">□  사용 목적 </t>
    </r>
    <r>
      <rPr>
        <sz val="9"/>
        <color rgb="FF000000"/>
        <rFont val="맑은 고딕"/>
        <family val="3"/>
        <charset val="129"/>
      </rPr>
      <t xml:space="preserve">· </t>
    </r>
    <r>
      <rPr>
        <sz val="9"/>
        <color rgb="FF000000"/>
        <rFont val="Noto Sans CJK SC"/>
        <family val="2"/>
      </rPr>
      <t>산출물의 구체성</t>
    </r>
  </si>
  <si>
    <r>
      <rPr>
        <sz val="9"/>
        <color rgb="FF000000"/>
        <rFont val="Noto Sans CJK SC"/>
        <family val="2"/>
      </rPr>
      <t xml:space="preserve">□  요금제 선택의 적정성 </t>
    </r>
    <r>
      <rPr>
        <sz val="9"/>
        <color rgb="FF000000"/>
        <rFont val="맑은 고딕"/>
        <family val="3"/>
        <charset val="129"/>
      </rPr>
      <t xml:space="preserve">(Pro / Max / </t>
    </r>
    <r>
      <rPr>
        <sz val="9"/>
        <color rgb="FF000000"/>
        <rFont val="Noto Sans CJK SC"/>
        <family val="2"/>
      </rPr>
      <t>기타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</si>
  <si>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□  중복지원 여부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개인지원 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Noto Sans CJK SC"/>
        <family val="2"/>
      </rPr>
      <t>만원 차감 확인</t>
    </r>
    <r>
      <rPr>
        <sz val="9"/>
        <color rgb="FF000000"/>
        <rFont val="맑은 고딕"/>
        <family val="3"/>
        <charset val="129"/>
      </rPr>
      <t>)</t>
    </r>
  </si>
  <si>
    <t>경영기획팀
예산 심사</t>
  </si>
  <si>
    <t>□ 예산 여력  □ 계정 적정성  □ 추경 필요 여부</t>
  </si>
  <si>
    <r>
      <rPr>
        <sz val="9"/>
        <color rgb="FF000000"/>
        <rFont val="Noto Sans CJK SC"/>
        <family val="2"/>
      </rPr>
      <t xml:space="preserve">심사의견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심사일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심사자 </t>
    </r>
    <r>
      <rPr>
        <sz val="9"/>
        <color rgb="FF000000"/>
        <rFont val="맑은 고딕"/>
        <family val="3"/>
        <charset val="129"/>
      </rPr>
      <t>:</t>
    </r>
  </si>
  <si>
    <t>최종 승인</t>
  </si>
  <si>
    <t>□ 승인    □ 조건부 승인    □ 반려</t>
  </si>
  <si>
    <r>
      <rPr>
        <sz val="9"/>
        <color rgb="FF000000"/>
        <rFont val="Noto Sans CJK SC"/>
        <family val="2"/>
      </rPr>
      <t xml:space="preserve">승인일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승인권자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임원</t>
    </r>
    <r>
      <rPr>
        <sz val="9"/>
        <color rgb="FF000000"/>
        <rFont val="맑은 고딕"/>
        <family val="3"/>
        <charset val="129"/>
      </rPr>
      <t>) :</t>
    </r>
  </si>
  <si>
    <r>
      <rPr>
        <sz val="9"/>
        <color rgb="FF777777"/>
        <rFont val="Noto Sans CJK SC"/>
        <family val="2"/>
      </rPr>
      <t xml:space="preserve">   ※ 노란색 음영 셀만 작성하시면 됩니다</t>
    </r>
    <r>
      <rPr>
        <sz val="9"/>
        <color rgb="FF777777"/>
        <rFont val="맑은 고딕"/>
        <family val="3"/>
        <charset val="129"/>
      </rPr>
      <t xml:space="preserve">. </t>
    </r>
    <r>
      <rPr>
        <sz val="9"/>
        <color rgb="FF777777"/>
        <rFont val="Noto Sans CJK SC"/>
        <family val="2"/>
      </rPr>
      <t>회색 셀</t>
    </r>
    <r>
      <rPr>
        <sz val="9"/>
        <color rgb="FF777777"/>
        <rFont val="맑은 고딕"/>
        <family val="3"/>
        <charset val="129"/>
      </rPr>
      <t>(</t>
    </r>
    <r>
      <rPr>
        <sz val="9"/>
        <color rgb="FF777777"/>
        <rFont val="Noto Sans CJK SC"/>
        <family val="2"/>
      </rPr>
      <t>소요액</t>
    </r>
    <r>
      <rPr>
        <sz val="9"/>
        <color rgb="FF777777"/>
        <rFont val="맑은 고딕"/>
        <family val="3"/>
        <charset val="129"/>
      </rPr>
      <t>·</t>
    </r>
    <r>
      <rPr>
        <sz val="9"/>
        <color rgb="FF777777"/>
        <rFont val="Noto Sans CJK SC"/>
        <family val="2"/>
      </rPr>
      <t>합계</t>
    </r>
    <r>
      <rPr>
        <sz val="9"/>
        <color rgb="FF777777"/>
        <rFont val="맑은 고딕"/>
        <family val="3"/>
        <charset val="129"/>
      </rPr>
      <t>)</t>
    </r>
    <r>
      <rPr>
        <sz val="9"/>
        <color rgb="FF777777"/>
        <rFont val="Noto Sans CJK SC"/>
        <family val="2"/>
      </rPr>
      <t>은 자동 계산됩니다</t>
    </r>
    <r>
      <rPr>
        <sz val="9"/>
        <color rgb="FF777777"/>
        <rFont val="맑은 고딕"/>
        <family val="3"/>
        <charset val="129"/>
      </rPr>
      <t>.</t>
    </r>
  </si>
  <si>
    <r>
      <rPr>
        <b/>
        <sz val="16"/>
        <color rgb="FF1F3B57"/>
        <rFont val="맑은 고딕"/>
        <family val="3"/>
        <charset val="129"/>
      </rPr>
      <t xml:space="preserve">AI </t>
    </r>
    <r>
      <rPr>
        <b/>
        <sz val="16"/>
        <color rgb="FF1F3B57"/>
        <rFont val="Noto Sans CJK SC"/>
        <family val="2"/>
      </rPr>
      <t xml:space="preserve">사용 예산 지원 신청서  </t>
    </r>
    <r>
      <rPr>
        <b/>
        <sz val="16"/>
        <color rgb="FF1F3B57"/>
        <rFont val="맑은 고딕"/>
        <family val="3"/>
        <charset val="129"/>
      </rPr>
      <t>(</t>
    </r>
    <r>
      <rPr>
        <b/>
        <sz val="16"/>
        <color rgb="FF1F3B57"/>
        <rFont val="Noto Sans CJK SC"/>
        <family val="2"/>
      </rPr>
      <t>작성예시</t>
    </r>
    <r>
      <rPr>
        <b/>
        <sz val="16"/>
        <color rgb="FF1F3B57"/>
        <rFont val="맑은 고딕"/>
        <family val="3"/>
        <charset val="129"/>
      </rPr>
      <t>)</t>
    </r>
  </si>
  <si>
    <t>경영기획팀</t>
  </si>
  <si>
    <t>2026-07-28</t>
  </si>
  <si>
    <t>대리 홍길동</t>
  </si>
  <si>
    <t>부장 김○○</t>
  </si>
  <si>
    <r>
      <rPr>
        <sz val="10"/>
        <color rgb="FF000000"/>
        <rFont val="맑은 고딕"/>
        <family val="3"/>
        <charset val="129"/>
      </rPr>
      <t>2026-08-01 ~ 2026-09-30 (2</t>
    </r>
    <r>
      <rPr>
        <sz val="10"/>
        <color rgb="FF000000"/>
        <rFont val="Noto Sans CJK SC"/>
        <family val="2"/>
      </rPr>
      <t>개월</t>
    </r>
    <r>
      <rPr>
        <sz val="10"/>
        <color rgb="FF000000"/>
        <rFont val="맑은 고딕"/>
        <family val="3"/>
        <charset val="129"/>
      </rPr>
      <t>)</t>
    </r>
  </si>
  <si>
    <t>판관비 추경</t>
  </si>
  <si>
    <r>
      <rPr>
        <sz val="10"/>
        <color rgb="FF000000"/>
        <rFont val="Noto Sans CJK SC"/>
        <family val="2"/>
      </rPr>
      <t>판관비</t>
    </r>
    <r>
      <rPr>
        <sz val="10"/>
        <color rgb="FF000000"/>
        <rFont val="맑은 고딕"/>
        <family val="3"/>
        <charset val="129"/>
      </rPr>
      <t>-</t>
    </r>
    <r>
      <rPr>
        <sz val="10"/>
        <color rgb="FF000000"/>
        <rFont val="Noto Sans CJK SC"/>
        <family val="2"/>
      </rPr>
      <t>지급수수료</t>
    </r>
  </si>
  <si>
    <r>
      <rPr>
        <sz val="10"/>
        <color rgb="FF000000"/>
        <rFont val="Noto Sans CJK SC"/>
        <family val="2"/>
      </rPr>
      <t>법인카드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팀 공용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</si>
  <si>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사업성 판단서 자동화 대시보드 및 사내 공고 크롤링 도구 개발
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바이브코딩 기반 내부 업무도구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종 구축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</si>
  <si>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경영기획팀 사업성 검토 업무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대상 인원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명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15</t>
    </r>
    <r>
      <rPr>
        <sz val="10"/>
        <color rgb="FF000000"/>
        <rFont val="Noto Sans CJK SC"/>
        <family val="2"/>
      </rPr>
      <t>건 내외</t>
    </r>
  </si>
  <si>
    <r>
      <rPr>
        <sz val="10"/>
        <color rgb="FF000000"/>
        <rFont val="Noto Sans CJK SC"/>
        <family val="2"/>
      </rPr>
      <t xml:space="preserve">건당 작성시간 </t>
    </r>
    <r>
      <rPr>
        <sz val="10"/>
        <color rgb="FF000000"/>
        <rFont val="맑은 고딕"/>
        <family val="3"/>
        <charset val="129"/>
      </rPr>
      <t>4</t>
    </r>
    <r>
      <rPr>
        <sz val="10"/>
        <color rgb="FF000000"/>
        <rFont val="Noto Sans CJK SC"/>
        <family val="2"/>
      </rPr>
      <t xml:space="preserve">시간 → </t>
    </r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Noto Sans CJK SC"/>
        <family val="2"/>
      </rPr>
      <t>시간</t>
    </r>
    <r>
      <rPr>
        <sz val="10"/>
        <color rgb="FF000000"/>
        <rFont val="맑은 고딕"/>
        <family val="3"/>
        <charset val="129"/>
      </rPr>
      <t xml:space="preserve">(△75%), 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맑은 고딕"/>
        <family val="3"/>
        <charset val="129"/>
      </rPr>
      <t>45</t>
    </r>
    <r>
      <rPr>
        <sz val="10"/>
        <color rgb="FF000000"/>
        <rFont val="Noto Sans CJK SC"/>
        <family val="2"/>
      </rPr>
      <t>시간 절감</t>
    </r>
  </si>
  <si>
    <r>
      <rPr>
        <sz val="10"/>
        <color rgb="FF000000"/>
        <rFont val="맑은 고딕"/>
        <family val="3"/>
        <charset val="129"/>
      </rPr>
      <t xml:space="preserve">Pro </t>
    </r>
    <r>
      <rPr>
        <sz val="10"/>
        <color rgb="FF000000"/>
        <rFont val="Noto Sans CJK SC"/>
        <family val="2"/>
      </rPr>
      <t>요금제 사용량 한도 초과로 코딩 작업 중단 빈발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주 </t>
    </r>
    <r>
      <rPr>
        <sz val="10"/>
        <color rgb="FF000000"/>
        <rFont val="맑은 고딕"/>
        <family val="3"/>
        <charset val="129"/>
      </rPr>
      <t>3~4</t>
    </r>
    <r>
      <rPr>
        <sz val="10"/>
        <color rgb="FF000000"/>
        <rFont val="Noto Sans CJK SC"/>
        <family val="2"/>
      </rPr>
      <t>회</t>
    </r>
    <r>
      <rPr>
        <sz val="10"/>
        <color rgb="FF000000"/>
        <rFont val="맑은 고딕"/>
        <family val="3"/>
        <charset val="129"/>
      </rPr>
      <t>)</t>
    </r>
  </si>
  <si>
    <t>차장 최○○</t>
  </si>
  <si>
    <t>Claude Max 5x</t>
  </si>
  <si>
    <t>바이브코딩 주 사용자</t>
  </si>
  <si>
    <t>Claude Pro + Cursor Pro</t>
  </si>
  <si>
    <r>
      <rPr>
        <sz val="9"/>
        <color rgb="FF000000"/>
        <rFont val="Noto Sans CJK SC"/>
        <family val="2"/>
      </rPr>
      <t>문서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기획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코드 에디터</t>
    </r>
  </si>
  <si>
    <r>
      <rPr>
        <sz val="9"/>
        <color rgb="FF000000"/>
        <rFont val="Noto Sans CJK SC"/>
        <family val="2"/>
      </rPr>
      <t xml:space="preserve">검토의견 </t>
    </r>
    <r>
      <rPr>
        <sz val="9"/>
        <color rgb="FF000000"/>
        <rFont val="맑은 고딕"/>
        <family val="3"/>
        <charset val="129"/>
      </rPr>
      <t xml:space="preserve">: </t>
    </r>
    <r>
      <rPr>
        <sz val="9"/>
        <color rgb="FF000000"/>
        <rFont val="Noto Sans CJK SC"/>
        <family val="2"/>
      </rPr>
      <t>사용목적 구체적</t>
    </r>
    <r>
      <rPr>
        <sz val="9"/>
        <color rgb="FF000000"/>
        <rFont val="맑은 고딕"/>
        <family val="3"/>
        <charset val="129"/>
      </rPr>
      <t xml:space="preserve">, Max </t>
    </r>
    <r>
      <rPr>
        <sz val="9"/>
        <color rgb="FF000000"/>
        <rFont val="Noto Sans CJK SC"/>
        <family val="2"/>
      </rPr>
      <t>요금제 타당</t>
    </r>
  </si>
  <si>
    <r>
      <rPr>
        <sz val="9"/>
        <color rgb="FF000000"/>
        <rFont val="Noto Sans CJK SC"/>
        <family val="2"/>
      </rPr>
      <t xml:space="preserve">검토일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검토자 </t>
    </r>
    <r>
      <rPr>
        <sz val="9"/>
        <color rgb="FF000000"/>
        <rFont val="맑은 고딕"/>
        <family val="3"/>
        <charset val="129"/>
      </rPr>
      <t>: '26.7.29 / PI</t>
    </r>
    <r>
      <rPr>
        <sz val="9"/>
        <color rgb="FF000000"/>
        <rFont val="Noto Sans CJK SC"/>
        <family val="2"/>
      </rPr>
      <t>팀 김은상 부장</t>
    </r>
  </si>
  <si>
    <r>
      <rPr>
        <b/>
        <sz val="14"/>
        <color rgb="FF1F3B57"/>
        <rFont val="맑은 고딕"/>
        <family val="3"/>
        <charset val="129"/>
      </rPr>
      <t xml:space="preserve">AI </t>
    </r>
    <r>
      <rPr>
        <b/>
        <sz val="14"/>
        <color rgb="FF1F3B57"/>
        <rFont val="Noto Sans CJK SC"/>
        <family val="2"/>
      </rPr>
      <t>도구 요금제 단가 참고표</t>
    </r>
  </si>
  <si>
    <r>
      <rPr>
        <sz val="9"/>
        <color rgb="FFC00000"/>
        <rFont val="Noto Sans CJK SC"/>
        <family val="2"/>
      </rPr>
      <t>※ 아래 금액은 참고용 추정치입니다</t>
    </r>
    <r>
      <rPr>
        <sz val="9"/>
        <color rgb="FFC00000"/>
        <rFont val="맑은 고딕"/>
        <family val="3"/>
        <charset val="129"/>
      </rPr>
      <t xml:space="preserve">. </t>
    </r>
    <r>
      <rPr>
        <sz val="9"/>
        <color rgb="FFC00000"/>
        <rFont val="Noto Sans CJK SC"/>
        <family val="2"/>
      </rPr>
      <t>환율</t>
    </r>
    <r>
      <rPr>
        <sz val="9"/>
        <color rgb="FFC00000"/>
        <rFont val="맑은 고딕"/>
        <family val="3"/>
        <charset val="129"/>
      </rPr>
      <t>·</t>
    </r>
    <r>
      <rPr>
        <sz val="9"/>
        <color rgb="FFC00000"/>
        <rFont val="Noto Sans CJK SC"/>
        <family val="2"/>
      </rPr>
      <t>부가세</t>
    </r>
    <r>
      <rPr>
        <sz val="9"/>
        <color rgb="FFC00000"/>
        <rFont val="맑은 고딕"/>
        <family val="3"/>
        <charset val="129"/>
      </rPr>
      <t>·</t>
    </r>
    <r>
      <rPr>
        <sz val="9"/>
        <color rgb="FFC00000"/>
        <rFont val="Noto Sans CJK SC"/>
        <family val="2"/>
      </rPr>
      <t>요금 개정에 따라 변동되므로 신청 시점의 실제 결제금액을 확인하여 기재하십시오</t>
    </r>
    <r>
      <rPr>
        <sz val="9"/>
        <color rgb="FFC00000"/>
        <rFont val="맑은 고딕"/>
        <family val="3"/>
        <charset val="129"/>
      </rPr>
      <t>.</t>
    </r>
  </si>
  <si>
    <t>도구</t>
  </si>
  <si>
    <t>요금제</t>
  </si>
  <si>
    <r>
      <rPr>
        <b/>
        <sz val="10"/>
        <color rgb="FFFFFFFF"/>
        <rFont val="Noto Sans CJK SC"/>
        <family val="2"/>
      </rPr>
      <t>월 단가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</si>
  <si>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연 단가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</si>
  <si>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권장 대상 </t>
    </r>
    <r>
      <rPr>
        <b/>
        <sz val="10"/>
        <color rgb="FFFFFFFF"/>
        <rFont val="맑은 고딕"/>
        <family val="3"/>
        <charset val="129"/>
      </rPr>
      <t xml:space="preserve">/ </t>
    </r>
    <r>
      <rPr>
        <b/>
        <sz val="10"/>
        <color rgb="FFFFFFFF"/>
        <rFont val="Noto Sans CJK SC"/>
        <family val="2"/>
      </rPr>
      <t>비고</t>
    </r>
  </si>
  <si>
    <t>Claude</t>
  </si>
  <si>
    <t>Pro</t>
  </si>
  <si>
    <r>
      <rPr>
        <sz val="9"/>
        <color rgb="FF000000"/>
        <rFont val="Noto Sans CJK SC"/>
        <family val="2"/>
      </rPr>
      <t>문서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기획 등 일반 업무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개인지원 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Noto Sans CJK SC"/>
        <family val="2"/>
      </rPr>
      <t>만원 內 소화 가능</t>
    </r>
    <r>
      <rPr>
        <sz val="9"/>
        <color rgb="FF000000"/>
        <rFont val="맑은 고딕"/>
        <family val="3"/>
        <charset val="129"/>
      </rPr>
      <t>)</t>
    </r>
  </si>
  <si>
    <t>Max 5x</t>
  </si>
  <si>
    <r>
      <rPr>
        <sz val="9"/>
        <color rgb="FF000000"/>
        <rFont val="Noto Sans CJK SC"/>
        <family val="2"/>
      </rPr>
      <t>바이브코딩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대량 문서작업 상시 수행자</t>
    </r>
  </si>
  <si>
    <t>Max 20x</t>
  </si>
  <si>
    <r>
      <rPr>
        <sz val="9"/>
        <color rgb="FF000000"/>
        <rFont val="Noto Sans CJK SC"/>
        <family val="2"/>
      </rPr>
      <t xml:space="preserve">전사 도구 개발 등 헤비 유저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사유 별도 소명</t>
    </r>
    <r>
      <rPr>
        <sz val="9"/>
        <color rgb="FF000000"/>
        <rFont val="맑은 고딕"/>
        <family val="3"/>
        <charset val="129"/>
      </rPr>
      <t>)</t>
    </r>
  </si>
  <si>
    <t>ChatGPT</t>
  </si>
  <si>
    <t>Plus</t>
  </si>
  <si>
    <t>일반 업무 보조</t>
  </si>
  <si>
    <r>
      <rPr>
        <sz val="9"/>
        <color rgb="FF000000"/>
        <rFont val="Noto Sans CJK SC"/>
        <family val="2"/>
      </rPr>
      <t>리서치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에이전트 헤비 유저</t>
    </r>
  </si>
  <si>
    <t>Gemini</t>
  </si>
  <si>
    <t>AI Pro</t>
  </si>
  <si>
    <t>구글 워크스페이스 연계 업무</t>
  </si>
  <si>
    <t>Cursor</t>
  </si>
  <si>
    <r>
      <rPr>
        <sz val="9"/>
        <color rgb="FF000000"/>
        <rFont val="Noto Sans CJK SC"/>
        <family val="2"/>
      </rPr>
      <t xml:space="preserve">코드 에디터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개발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바이브코딩</t>
    </r>
    <r>
      <rPr>
        <sz val="9"/>
        <color rgb="FF000000"/>
        <rFont val="맑은 고딕"/>
        <family val="3"/>
        <charset val="129"/>
      </rPr>
      <t>)</t>
    </r>
  </si>
  <si>
    <t>GitHub Copilot</t>
  </si>
  <si>
    <t>Business</t>
  </si>
  <si>
    <t>코드 자동완성</t>
  </si>
  <si>
    <r>
      <rPr>
        <sz val="9"/>
        <color rgb="FF777777"/>
        <rFont val="Noto Sans CJK SC"/>
        <family val="2"/>
      </rPr>
      <t>※ 파란색 글씨는 입력값입니다</t>
    </r>
    <r>
      <rPr>
        <sz val="9"/>
        <color rgb="FF777777"/>
        <rFont val="맑은 고딕"/>
        <family val="3"/>
        <charset val="129"/>
      </rPr>
      <t xml:space="preserve">. </t>
    </r>
    <r>
      <rPr>
        <sz val="9"/>
        <color rgb="FF777777"/>
        <rFont val="Noto Sans CJK SC"/>
        <family val="2"/>
      </rPr>
      <t>단가 갱신 시 이 표를 수정하고 신청서에 반영하십시오</t>
    </r>
    <r>
      <rPr>
        <sz val="9"/>
        <color rgb="FF777777"/>
        <rFont val="맑은 고딕"/>
        <family val="3"/>
        <charset val="129"/>
      </rPr>
      <t>. (</t>
    </r>
    <r>
      <rPr>
        <sz val="9"/>
        <color rgb="FF777777"/>
        <rFont val="Noto Sans CJK SC"/>
        <family val="2"/>
      </rPr>
      <t xml:space="preserve">최초 작성 </t>
    </r>
    <r>
      <rPr>
        <sz val="9"/>
        <color rgb="FF777777"/>
        <rFont val="맑은 고딕"/>
        <family val="3"/>
        <charset val="129"/>
      </rPr>
      <t>: '26.7)</t>
    </r>
  </si>
  <si>
    <r>
      <rPr>
        <b/>
        <sz val="14"/>
        <color rgb="FF1F3B57"/>
        <rFont val="맑은 고딕"/>
        <family val="3"/>
        <charset val="129"/>
      </rPr>
      <t xml:space="preserve">AI </t>
    </r>
    <r>
      <rPr>
        <b/>
        <sz val="14"/>
        <color rgb="FF1F3B57"/>
        <rFont val="Noto Sans CJK SC"/>
        <family val="2"/>
      </rPr>
      <t xml:space="preserve">사용 예산 신청 </t>
    </r>
    <r>
      <rPr>
        <b/>
        <sz val="14"/>
        <color rgb="FF1F3B57"/>
        <rFont val="맑은 고딕"/>
        <family val="3"/>
        <charset val="129"/>
      </rPr>
      <t xml:space="preserve">· </t>
    </r>
    <r>
      <rPr>
        <b/>
        <sz val="14"/>
        <color rgb="FF1F3B57"/>
        <rFont val="Noto Sans CJK SC"/>
        <family val="2"/>
      </rPr>
      <t>승인 처리 절차</t>
    </r>
  </si>
  <si>
    <t>단계</t>
  </si>
  <si>
    <t>구분</t>
  </si>
  <si>
    <t>주관</t>
  </si>
  <si>
    <t>소요일</t>
  </si>
  <si>
    <t>주요 내용</t>
  </si>
  <si>
    <t>1</t>
  </si>
  <si>
    <t>사용계획 수립</t>
  </si>
  <si>
    <t>-</t>
  </si>
  <si>
    <r>
      <rPr>
        <sz val="9"/>
        <color rgb="FF000000"/>
        <rFont val="Noto Sans CJK SC"/>
        <family val="2"/>
      </rPr>
      <t>사용 목적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산출물</t>
    </r>
    <r>
      <rPr>
        <sz val="9"/>
        <color rgb="FF000000"/>
        <rFont val="맑은 고딕"/>
        <family val="3"/>
        <charset val="129"/>
      </rPr>
      <t>)·</t>
    </r>
    <r>
      <rPr>
        <sz val="9"/>
        <color rgb="FF000000"/>
        <rFont val="Noto Sans CJK SC"/>
        <family val="2"/>
      </rPr>
      <t>대상자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기간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요금제 확정 후 신청서 작성</t>
    </r>
  </si>
  <si>
    <t>2</t>
  </si>
  <si>
    <t>부서장 승인</t>
  </si>
  <si>
    <t>신청부서장</t>
  </si>
  <si>
    <r>
      <rPr>
        <sz val="9"/>
        <color rgb="FF000000"/>
        <rFont val="맑은 고딕"/>
        <family val="3"/>
        <charset val="129"/>
      </rPr>
      <t>1</t>
    </r>
    <r>
      <rPr>
        <sz val="9"/>
        <color rgb="FF000000"/>
        <rFont val="Noto Sans CJK SC"/>
        <family val="2"/>
      </rPr>
      <t>일</t>
    </r>
  </si>
  <si>
    <t>부서 업무 필요성 및 인원 적정성 확인</t>
  </si>
  <si>
    <t>3</t>
  </si>
  <si>
    <t>신청서 접수</t>
  </si>
  <si>
    <r>
      <rPr>
        <sz val="9"/>
        <color rgb="FF000000"/>
        <rFont val="맑은 고딕"/>
        <family val="3"/>
        <charset val="129"/>
      </rPr>
      <t>PI</t>
    </r>
    <r>
      <rPr>
        <sz val="9"/>
        <color rgb="FF000000"/>
        <rFont val="Noto Sans CJK SC"/>
        <family val="2"/>
      </rPr>
      <t>팀</t>
    </r>
  </si>
  <si>
    <r>
      <rPr>
        <sz val="9"/>
        <color rgb="FF000000"/>
        <rFont val="Noto Sans CJK SC"/>
        <family val="2"/>
      </rPr>
      <t xml:space="preserve">매월 </t>
    </r>
    <r>
      <rPr>
        <sz val="9"/>
        <color rgb="FF000000"/>
        <rFont val="맑은 고딕"/>
        <family val="3"/>
        <charset val="129"/>
      </rPr>
      <t>15</t>
    </r>
    <r>
      <rPr>
        <sz val="9"/>
        <color rgb="FF000000"/>
        <rFont val="Noto Sans CJK SC"/>
        <family val="2"/>
      </rPr>
      <t xml:space="preserve">일까지 접수분을 익월 예산에 반영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긴급 건 별도 협의</t>
    </r>
    <r>
      <rPr>
        <sz val="9"/>
        <color rgb="FF000000"/>
        <rFont val="맑은 고딕"/>
        <family val="3"/>
        <charset val="129"/>
      </rPr>
      <t>)</t>
    </r>
  </si>
  <si>
    <t>4</t>
  </si>
  <si>
    <r>
      <rPr>
        <b/>
        <sz val="9"/>
        <color rgb="FF000000"/>
        <rFont val="맑은 고딕"/>
        <family val="3"/>
        <charset val="129"/>
      </rPr>
      <t>1</t>
    </r>
    <r>
      <rPr>
        <b/>
        <sz val="9"/>
        <color rgb="FF000000"/>
        <rFont val="Noto Sans CJK SC"/>
        <family val="2"/>
      </rPr>
      <t>차 검토</t>
    </r>
  </si>
  <si>
    <r>
      <rPr>
        <sz val="9"/>
        <color rgb="FF000000"/>
        <rFont val="맑은 고딕"/>
        <family val="3"/>
        <charset val="129"/>
      </rPr>
      <t>3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</si>
  <si>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>사용계획 타당성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요금제 적정성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중복지원 여부 검토 및 의견 기재</t>
    </r>
  </si>
  <si>
    <t>5</t>
  </si>
  <si>
    <t>예산 심사</t>
  </si>
  <si>
    <r>
      <rPr>
        <sz val="9"/>
        <color rgb="FF000000"/>
        <rFont val="Noto Sans CJK SC"/>
        <family val="2"/>
      </rPr>
      <t>예산 여력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계정 적정성 심사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판관비 추경 필요 시 반영</t>
    </r>
  </si>
  <si>
    <t>6</t>
  </si>
  <si>
    <t>담당 임원</t>
  </si>
  <si>
    <r>
      <rPr>
        <sz val="9"/>
        <color rgb="FF000000"/>
        <rFont val="맑은 고딕"/>
        <family val="3"/>
        <charset val="129"/>
      </rPr>
      <t>2</t>
    </r>
    <r>
      <rPr>
        <sz val="9"/>
        <color rgb="FF000000"/>
        <rFont val="Noto Sans CJK SC"/>
        <family val="2"/>
      </rPr>
      <t>일</t>
    </r>
  </si>
  <si>
    <r>
      <rPr>
        <sz val="9"/>
        <color rgb="FF000000"/>
        <rFont val="Noto Sans CJK SC"/>
        <family val="2"/>
      </rPr>
      <t xml:space="preserve">승인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 xml:space="preserve">조건부 승인 </t>
    </r>
    <r>
      <rPr>
        <sz val="9"/>
        <color rgb="FF000000"/>
        <rFont val="맑은 고딕"/>
        <family val="3"/>
        <charset val="129"/>
      </rPr>
      <t xml:space="preserve">/ </t>
    </r>
    <r>
      <rPr>
        <sz val="9"/>
        <color rgb="FF000000"/>
        <rFont val="Noto Sans CJK SC"/>
        <family val="2"/>
      </rPr>
      <t>반려 결정</t>
    </r>
  </si>
  <si>
    <t>7</t>
  </si>
  <si>
    <r>
      <rPr>
        <b/>
        <sz val="9"/>
        <color rgb="FF000000"/>
        <rFont val="Noto Sans CJK SC"/>
        <family val="2"/>
      </rPr>
      <t xml:space="preserve">구독 </t>
    </r>
    <r>
      <rPr>
        <b/>
        <sz val="9"/>
        <color rgb="FF000000"/>
        <rFont val="맑은 고딕"/>
        <family val="3"/>
        <charset val="129"/>
      </rPr>
      <t xml:space="preserve">· </t>
    </r>
    <r>
      <rPr>
        <b/>
        <sz val="9"/>
        <color rgb="FF000000"/>
        <rFont val="Noto Sans CJK SC"/>
        <family val="2"/>
      </rPr>
      <t>집행</t>
    </r>
  </si>
  <si>
    <r>
      <rPr>
        <sz val="9"/>
        <color rgb="FF000000"/>
        <rFont val="Noto Sans CJK SC"/>
        <family val="2"/>
      </rPr>
      <t>법인카드 결제 후 영수증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결제내역 보관</t>
    </r>
  </si>
  <si>
    <t>8</t>
  </si>
  <si>
    <t>실적 보고</t>
  </si>
  <si>
    <r>
      <rPr>
        <sz val="9"/>
        <color rgb="FF000000"/>
        <rFont val="Noto Sans CJK SC"/>
        <family val="2"/>
      </rPr>
      <t xml:space="preserve">신청부서 → </t>
    </r>
    <r>
      <rPr>
        <sz val="9"/>
        <color rgb="FF000000"/>
        <rFont val="맑은 고딕"/>
        <family val="3"/>
        <charset val="129"/>
      </rPr>
      <t>PI</t>
    </r>
    <r>
      <rPr>
        <sz val="9"/>
        <color rgb="FF000000"/>
        <rFont val="Noto Sans CJK SC"/>
        <family val="2"/>
      </rPr>
      <t>팀</t>
    </r>
  </si>
  <si>
    <r>
      <rPr>
        <sz val="9"/>
        <color rgb="FF000000"/>
        <rFont val="Noto Sans CJK SC"/>
        <family val="2"/>
      </rPr>
      <t xml:space="preserve">종료 후 </t>
    </r>
    <r>
      <rPr>
        <sz val="9"/>
        <color rgb="FF000000"/>
        <rFont val="맑은 고딕"/>
        <family val="3"/>
        <charset val="129"/>
      </rPr>
      <t>2</t>
    </r>
    <r>
      <rPr>
        <sz val="9"/>
        <color rgb="FF000000"/>
        <rFont val="Noto Sans CJK SC"/>
        <family val="2"/>
      </rPr>
      <t>주</t>
    </r>
  </si>
  <si>
    <r>
      <rPr>
        <sz val="9"/>
        <color rgb="FF000000"/>
        <rFont val="Noto Sans CJK SC"/>
        <family val="2"/>
      </rPr>
      <t>산출물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활용실적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절감효과 보고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계속사용 여부 결정</t>
    </r>
  </si>
  <si>
    <t>9</t>
  </si>
  <si>
    <r>
      <rPr>
        <b/>
        <sz val="9"/>
        <color rgb="FF000000"/>
        <rFont val="Noto Sans CJK SC"/>
        <family val="2"/>
      </rPr>
      <t xml:space="preserve">정산 </t>
    </r>
    <r>
      <rPr>
        <b/>
        <sz val="9"/>
        <color rgb="FF000000"/>
        <rFont val="맑은 고딕"/>
        <family val="3"/>
        <charset val="129"/>
      </rPr>
      <t xml:space="preserve">· </t>
    </r>
    <r>
      <rPr>
        <b/>
        <sz val="9"/>
        <color rgb="FF000000"/>
        <rFont val="Noto Sans CJK SC"/>
        <family val="2"/>
      </rPr>
      <t>반납</t>
    </r>
  </si>
  <si>
    <r>
      <rPr>
        <sz val="9"/>
        <color rgb="FF000000"/>
        <rFont val="Noto Sans CJK SC"/>
        <family val="2"/>
      </rPr>
      <t>미사용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저조 건 요금제 하향 또는 해지</t>
    </r>
    <r>
      <rPr>
        <sz val="9"/>
        <color rgb="FF000000"/>
        <rFont val="맑은 고딕"/>
        <family val="3"/>
        <charset val="129"/>
      </rPr>
      <t xml:space="preserve">, </t>
    </r>
    <r>
      <rPr>
        <sz val="9"/>
        <color rgb="FF000000"/>
        <rFont val="Noto Sans CJK SC"/>
        <family val="2"/>
      </rPr>
      <t>잔여예산 반납</t>
    </r>
  </si>
  <si>
    <r>
      <rPr>
        <b/>
        <sz val="10"/>
        <color rgb="FFFFFFFF"/>
        <rFont val="맑은 고딕"/>
        <family val="3"/>
        <charset val="129"/>
      </rPr>
      <t xml:space="preserve">  [</t>
    </r>
    <r>
      <rPr>
        <b/>
        <sz val="10"/>
        <color rgb="FFFFFFFF"/>
        <rFont val="Noto Sans CJK SC"/>
        <family val="2"/>
      </rPr>
      <t>운영 원칙</t>
    </r>
    <r>
      <rPr>
        <b/>
        <sz val="10"/>
        <color rgb="FFFFFFFF"/>
        <rFont val="맑은 고딕"/>
        <family val="3"/>
        <charset val="129"/>
      </rPr>
      <t>]</t>
    </r>
  </si>
  <si>
    <r>
      <rPr>
        <sz val="9"/>
        <color rgb="FF000000"/>
        <rFont val="Noto Sans CJK SC"/>
        <family val="2"/>
      </rPr>
      <t xml:space="preserve">   ㆍ 개인지원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월 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Noto Sans CJK SC"/>
        <family val="2"/>
      </rPr>
      <t>만원</t>
    </r>
    <r>
      <rPr>
        <sz val="9"/>
        <color rgb="FF000000"/>
        <rFont val="맑은 고딕"/>
        <family val="3"/>
        <charset val="129"/>
      </rPr>
      <t>)</t>
    </r>
    <r>
      <rPr>
        <sz val="9"/>
        <color rgb="FF000000"/>
        <rFont val="Noto Sans CJK SC"/>
        <family val="2"/>
      </rPr>
      <t>과 부서 추가지원은 중복 불가 — 기지원액을 차감한 「추가 소요액」만 신청</t>
    </r>
  </si>
  <si>
    <r>
      <rPr>
        <sz val="9"/>
        <color rgb="FF000000"/>
        <rFont val="Noto Sans CJK SC"/>
        <family val="2"/>
      </rPr>
      <t xml:space="preserve">   ㆍ </t>
    </r>
    <r>
      <rPr>
        <sz val="9"/>
        <color rgb="FF000000"/>
        <rFont val="맑은 고딕"/>
        <family val="3"/>
        <charset val="129"/>
      </rPr>
      <t>1~2</t>
    </r>
    <r>
      <rPr>
        <sz val="9"/>
        <color rgb="FF000000"/>
        <rFont val="Noto Sans CJK SC"/>
        <family val="2"/>
      </rPr>
      <t>개월 시범 사용 후 실적에 따라 연장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상향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해지를 결정하는 것을 원칙으로 함</t>
    </r>
  </si>
  <si>
    <r>
      <rPr>
        <sz val="9"/>
        <color rgb="FF000000"/>
        <rFont val="Noto Sans CJK SC"/>
        <family val="2"/>
      </rPr>
      <t xml:space="preserve">   ㆍ 코딩 등 비상시적 업무는 필요 시점에만 상위 요금제로 전환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연중 상시 구독 지양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</si>
  <si>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Noto Sans CJK SC"/>
        <family val="2"/>
      </rPr>
      <t xml:space="preserve">   ㆍ 임원 사용분의 부서예산 편성 여부는 별도 결정 사항 </t>
    </r>
    <r>
      <rPr>
        <sz val="9"/>
        <color rgb="FF000000"/>
        <rFont val="맑은 고딕"/>
        <family val="3"/>
        <charset val="129"/>
      </rPr>
      <t xml:space="preserve">(AI TF </t>
    </r>
    <r>
      <rPr>
        <sz val="9"/>
        <color rgb="FF000000"/>
        <rFont val="Noto Sans CJK SC"/>
        <family val="2"/>
      </rPr>
      <t>회의 협의</t>
    </r>
    <r>
      <rPr>
        <sz val="9"/>
        <color rgb="FF000000"/>
        <rFont val="맑은 고딕"/>
        <family val="3"/>
        <charset val="129"/>
      </rPr>
      <t>)</t>
    </r>
  </si>
  <si>
    <t xml:space="preserve">   ㆍ 연간 구독이 유리한 경우 사유 기재 시 승인 가능</t>
  </si>
  <si>
    <t>경영기획팀</t>
    <phoneticPr fontId="27" type="noConversion"/>
  </si>
  <si>
    <t>PI팀</t>
    <phoneticPr fontId="27" type="noConversion"/>
  </si>
  <si>
    <r>
      <rPr>
        <sz val="9"/>
        <color rgb="FF555555"/>
        <rFont val="맑은 고딕"/>
        <family val="3"/>
        <charset val="129"/>
      </rPr>
      <t>※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처리절차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: 신청부서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작성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Noto Sans CJK SC"/>
        <family val="2"/>
        <charset val="129"/>
      </rPr>
      <t>→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부서장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승인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Noto Sans CJK SC"/>
        <family val="2"/>
        <charset val="129"/>
      </rPr>
      <t>→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PI팀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사용계획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검토(1차) → 경영기획팀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예산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심사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Noto Sans CJK SC"/>
        <family val="2"/>
        <charset val="129"/>
      </rPr>
      <t>→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2"/>
        <charset val="129"/>
      </rPr>
      <t>대표</t>
    </r>
    <r>
      <rPr>
        <sz val="9"/>
        <color rgb="FF555555"/>
        <rFont val="맑은 고딕"/>
        <family val="3"/>
        <charset val="129"/>
      </rPr>
      <t>승인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Noto Sans CJK SC"/>
        <family val="2"/>
        <charset val="129"/>
      </rPr>
      <t>→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예산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편성·집행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Noto Sans CJK SC"/>
        <family val="2"/>
        <charset val="129"/>
      </rPr>
      <t>→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종료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후</t>
    </r>
    <r>
      <rPr>
        <sz val="9"/>
        <color rgb="FF555555"/>
        <rFont val="Arial"/>
        <family val="2"/>
      </rPr>
      <t xml:space="preserve"> </t>
    </r>
    <r>
      <rPr>
        <sz val="9"/>
        <color rgb="FF555555"/>
        <rFont val="맑은 고딕"/>
        <family val="3"/>
        <charset val="129"/>
      </rPr>
      <t>실적보고</t>
    </r>
    <phoneticPr fontId="27" type="noConversion"/>
  </si>
  <si>
    <r>
      <rPr>
        <sz val="9"/>
        <color rgb="FF000000"/>
        <rFont val="맑은 고딕"/>
        <family val="3"/>
        <charset val="129"/>
      </rPr>
      <t>연장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또는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요금제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상향이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필요한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경우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맑은 고딕"/>
        <family val="2"/>
        <charset val="129"/>
      </rPr>
      <t>년 단위 편성</t>
    </r>
    <phoneticPr fontId="27" type="noConversion"/>
  </si>
  <si>
    <r>
      <t xml:space="preserve">  5. 검토</t>
    </r>
    <r>
      <rPr>
        <b/>
        <sz val="11"/>
        <color rgb="FFFFFFFF"/>
        <rFont val="맑은 고딕"/>
        <family val="2"/>
        <charset val="129"/>
      </rPr>
      <t>내용</t>
    </r>
    <phoneticPr fontId="27" type="noConversion"/>
  </si>
  <si>
    <r>
      <rPr>
        <b/>
        <sz val="10"/>
        <color rgb="FF000000"/>
        <rFont val="맑은 고딕"/>
        <family val="3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요금제로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불가한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사유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</si>
</sst>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charset val="1"/>
    </font>
    <font>
      <b/>
      <sz val="16"/>
      <color rgb="FF1F3B57"/>
      <name val="맑은 고딕"/>
      <family val="3"/>
      <charset val="129"/>
    </font>
    <font>
      <b/>
      <sz val="16"/>
      <color rgb="FF1F3B57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777777"/>
      <name val="Noto Sans CJK SC"/>
      <family val="2"/>
    </font>
    <font>
      <sz val="9"/>
      <color rgb="FF777777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FFFFFF"/>
      <name val="Noto Sans CJK SC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9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4"/>
      <color rgb="FF1F3B57"/>
      <name val="맑은 고딕"/>
      <family val="3"/>
      <charset val="129"/>
    </font>
    <font>
      <b/>
      <sz val="14"/>
      <color rgb="FF1F3B57"/>
      <name val="Noto Sans CJK SC"/>
      <family val="2"/>
    </font>
    <font>
      <sz val="9"/>
      <color rgb="FFC00000"/>
      <name val="Noto Sans CJK SC"/>
      <family val="2"/>
    </font>
    <font>
      <sz val="9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9"/>
      <color rgb="FF0000FF"/>
      <name val="맑은 고딕"/>
      <family val="3"/>
      <charset val="129"/>
    </font>
    <font>
      <b/>
      <sz val="9"/>
      <color rgb="FF000000"/>
      <name val="Noto Sans CJK SC"/>
      <family val="2"/>
    </font>
    <font>
      <sz val="8"/>
      <name val="돋움"/>
      <family val="3"/>
      <charset val="129"/>
    </font>
    <font>
      <sz val="9"/>
      <color rgb="FF555555"/>
      <name val="Arial"/>
      <family val="2"/>
    </font>
    <font>
      <sz val="9"/>
      <color rgb="FF555555"/>
      <name val="Noto Sans CJK SC"/>
      <family val="2"/>
      <charset val="129"/>
    </font>
    <font>
      <sz val="9"/>
      <color rgb="FF555555"/>
      <name val="맑은 고딕"/>
      <family val="2"/>
      <charset val="129"/>
    </font>
    <font>
      <sz val="9"/>
      <color rgb="FF555555"/>
      <name val="Noto Sans CJK SC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2"/>
      <charset val="129"/>
    </font>
    <font>
      <sz val="9"/>
      <color rgb="FF000000"/>
      <name val="Noto Sans CJK SC"/>
      <family val="3"/>
      <charset val="129"/>
    </font>
    <font>
      <b/>
      <sz val="11"/>
      <color rgb="FFFFFFFF"/>
      <name val="맑은 고딕"/>
      <family val="2"/>
      <charset val="129"/>
    </font>
    <font>
      <b/>
      <sz val="10"/>
      <color rgb="FF000000"/>
      <name val="Arial"/>
      <family val="2"/>
    </font>
    <font>
      <b/>
      <sz val="10"/>
      <color rgb="FF000000"/>
      <name val="Noto Sans CJK S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E8F4F2"/>
        <bgColor rgb="FFFBF1DF"/>
      </patternFill>
    </fill>
    <fill>
      <patternFill patternType="solid">
        <fgColor rgb="FFFFF9D6"/>
        <bgColor rgb="FFFBF1DF"/>
      </patternFill>
    </fill>
    <fill>
      <patternFill patternType="solid">
        <fgColor rgb="FFFBF1DF"/>
        <bgColor rgb="FFFFF9D6"/>
      </patternFill>
    </fill>
    <fill>
      <patternFill patternType="solid">
        <fgColor theme="0"/>
        <bgColor rgb="FFFBF1D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3" fontId="9" fillId="5" borderId="2" xfId="0" applyNumberFormat="1" applyFont="1" applyFill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3" fontId="25" fillId="4" borderId="2" xfId="0" applyNumberFormat="1" applyFont="1" applyFill="1" applyBorder="1" applyAlignment="1">
      <alignment horizontal="right" vertical="center" wrapText="1"/>
    </xf>
    <xf numFmtId="0" fontId="17" fillId="0" borderId="2" xfId="0" applyFont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3" fontId="14" fillId="6" borderId="2" xfId="0" applyNumberFormat="1" applyFont="1" applyFill="1" applyBorder="1" applyAlignment="1">
      <alignment horizontal="right" vertical="center" wrapText="1"/>
    </xf>
    <xf numFmtId="0" fontId="14" fillId="6" borderId="2" xfId="0" applyFont="1" applyFill="1" applyBorder="1" applyAlignment="1">
      <alignment horizontal="center" vertical="center" wrapText="1"/>
    </xf>
    <xf numFmtId="3" fontId="14" fillId="7" borderId="2" xfId="0" applyNumberFormat="1" applyFont="1" applyFill="1" applyBorder="1" applyAlignment="1">
      <alignment horizontal="right" vertical="center" wrapText="1"/>
    </xf>
    <xf numFmtId="3" fontId="15" fillId="7" borderId="2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left" vertical="center" wrapText="1"/>
    </xf>
    <xf numFmtId="3" fontId="14" fillId="6" borderId="3" xfId="0" applyNumberFormat="1" applyFont="1" applyFill="1" applyBorder="1" applyAlignment="1">
      <alignment horizontal="right" vertical="center" wrapText="1"/>
    </xf>
    <xf numFmtId="0" fontId="14" fillId="6" borderId="3" xfId="0" applyFont="1" applyFill="1" applyBorder="1" applyAlignment="1">
      <alignment horizontal="center" vertical="center" wrapText="1"/>
    </xf>
    <xf numFmtId="3" fontId="14" fillId="7" borderId="3" xfId="0" applyNumberFormat="1" applyFont="1" applyFill="1" applyBorder="1" applyAlignment="1">
      <alignment horizontal="right" vertical="center" wrapText="1"/>
    </xf>
    <xf numFmtId="3" fontId="15" fillId="7" borderId="3" xfId="0" applyNumberFormat="1" applyFont="1" applyFill="1" applyBorder="1" applyAlignment="1">
      <alignment horizontal="right" vertical="center" wrapText="1"/>
    </xf>
    <xf numFmtId="3" fontId="9" fillId="5" borderId="3" xfId="0" applyNumberFormat="1" applyFont="1" applyFill="1" applyBorder="1" applyAlignment="1">
      <alignment horizontal="righ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 wrapText="1"/>
    </xf>
    <xf numFmtId="0" fontId="34" fillId="0" borderId="3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3" fontId="16" fillId="4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37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4" borderId="3" xfId="0" applyFont="1" applyFill="1" applyBorder="1" applyAlignment="1">
      <alignment horizontal="left" vertical="top" wrapText="1"/>
    </xf>
    <xf numFmtId="0" fontId="17" fillId="4" borderId="3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9D6"/>
      <rgbColor rgb="FFE8F4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1D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showGridLines="0" tabSelected="1" view="pageBreakPreview" zoomScale="145" zoomScaleNormal="130" zoomScaleSheetLayoutView="145" workbookViewId="0">
      <selection activeCell="A14" sqref="A14:B14"/>
    </sheetView>
  </sheetViews>
  <sheetFormatPr defaultColWidth="8.7109375" defaultRowHeight="15"/>
  <cols>
    <col min="1" max="1" width="4.42578125" customWidth="1"/>
    <col min="2" max="2" width="16" customWidth="1"/>
    <col min="3" max="4" width="12" customWidth="1"/>
    <col min="5" max="5" width="13" customWidth="1"/>
    <col min="6" max="6" width="9" customWidth="1"/>
    <col min="7" max="9" width="13" customWidth="1"/>
    <col min="10" max="10" width="20" customWidth="1"/>
  </cols>
  <sheetData>
    <row r="1" spans="1:10" ht="33.7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8" customHeight="1">
      <c r="A2" s="48" t="s">
        <v>144</v>
      </c>
      <c r="B2" s="49"/>
      <c r="C2" s="49"/>
      <c r="D2" s="49"/>
      <c r="E2" s="49"/>
      <c r="F2" s="49"/>
      <c r="G2" s="49"/>
      <c r="H2" s="49"/>
      <c r="I2" s="49"/>
      <c r="J2" s="49"/>
    </row>
    <row r="4" spans="1:10" ht="21.7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</row>
    <row r="5" spans="1:10" ht="24" customHeight="1">
      <c r="A5" s="32" t="s">
        <v>3</v>
      </c>
      <c r="B5" s="32"/>
      <c r="C5" s="44"/>
      <c r="D5" s="44"/>
      <c r="E5" s="44"/>
      <c r="F5" s="32" t="s">
        <v>4</v>
      </c>
      <c r="G5" s="32"/>
      <c r="H5" s="44"/>
      <c r="I5" s="44"/>
      <c r="J5" s="44"/>
    </row>
    <row r="6" spans="1:10" ht="24" customHeight="1">
      <c r="A6" s="32" t="s">
        <v>5</v>
      </c>
      <c r="B6" s="32"/>
      <c r="C6" s="44"/>
      <c r="D6" s="44"/>
      <c r="E6" s="44"/>
      <c r="F6" s="32" t="s">
        <v>6</v>
      </c>
      <c r="G6" s="32"/>
      <c r="H6" s="44"/>
      <c r="I6" s="44"/>
      <c r="J6" s="44"/>
    </row>
    <row r="7" spans="1:10" ht="24" customHeight="1">
      <c r="A7" s="32" t="s">
        <v>7</v>
      </c>
      <c r="B7" s="32"/>
      <c r="C7" s="44"/>
      <c r="D7" s="44"/>
      <c r="E7" s="44"/>
      <c r="F7" s="32" t="s">
        <v>8</v>
      </c>
      <c r="G7" s="32"/>
      <c r="H7" s="44"/>
      <c r="I7" s="44"/>
      <c r="J7" s="44"/>
    </row>
    <row r="8" spans="1:10" ht="24" customHeight="1">
      <c r="A8" s="32" t="s">
        <v>9</v>
      </c>
      <c r="B8" s="32"/>
      <c r="C8" s="44"/>
      <c r="D8" s="44"/>
      <c r="E8" s="44"/>
      <c r="F8" s="32" t="s">
        <v>10</v>
      </c>
      <c r="G8" s="32"/>
      <c r="H8" s="44"/>
      <c r="I8" s="44"/>
      <c r="J8" s="44"/>
    </row>
    <row r="9" spans="1:10" ht="15" customHeight="1">
      <c r="A9" s="46" t="s">
        <v>11</v>
      </c>
      <c r="B9" s="46"/>
      <c r="C9" s="46"/>
      <c r="D9" s="46"/>
      <c r="E9" s="46"/>
      <c r="F9" s="46"/>
      <c r="G9" s="46"/>
      <c r="H9" s="46"/>
      <c r="I9" s="46"/>
      <c r="J9" s="46"/>
    </row>
    <row r="11" spans="1:10" ht="21.75" customHeight="1">
      <c r="A11" s="36" t="s">
        <v>12</v>
      </c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45.75" customHeight="1">
      <c r="A12" s="32" t="s">
        <v>13</v>
      </c>
      <c r="B12" s="32"/>
      <c r="C12" s="44"/>
      <c r="D12" s="44"/>
      <c r="E12" s="44"/>
      <c r="F12" s="44"/>
      <c r="G12" s="44"/>
      <c r="H12" s="44"/>
      <c r="I12" s="44"/>
      <c r="J12" s="44"/>
    </row>
    <row r="13" spans="1:10" ht="30" customHeight="1">
      <c r="A13" s="32" t="s">
        <v>14</v>
      </c>
      <c r="B13" s="32"/>
      <c r="C13" s="44"/>
      <c r="D13" s="44"/>
      <c r="E13" s="44"/>
      <c r="F13" s="44"/>
      <c r="G13" s="44"/>
      <c r="H13" s="44"/>
      <c r="I13" s="44"/>
      <c r="J13" s="44"/>
    </row>
    <row r="14" spans="1:10" ht="30" customHeight="1">
      <c r="A14" s="32" t="s">
        <v>15</v>
      </c>
      <c r="B14" s="32"/>
      <c r="C14" s="44"/>
      <c r="D14" s="44"/>
      <c r="E14" s="44"/>
      <c r="F14" s="44"/>
      <c r="G14" s="44"/>
      <c r="H14" s="44"/>
      <c r="I14" s="44"/>
      <c r="J14" s="44"/>
    </row>
    <row r="15" spans="1:10" ht="30" customHeight="1">
      <c r="A15" s="45" t="s">
        <v>147</v>
      </c>
      <c r="B15" s="32"/>
      <c r="C15" s="44"/>
      <c r="D15" s="44"/>
      <c r="E15" s="44"/>
      <c r="F15" s="44"/>
      <c r="G15" s="44"/>
      <c r="H15" s="44"/>
      <c r="I15" s="44"/>
      <c r="J15" s="44"/>
    </row>
    <row r="17" spans="1:10" ht="21.75" customHeight="1">
      <c r="A17" s="36" t="s">
        <v>17</v>
      </c>
      <c r="B17" s="36"/>
      <c r="C17" s="36"/>
      <c r="D17" s="36"/>
      <c r="E17" s="36"/>
      <c r="F17" s="36"/>
      <c r="G17" s="36"/>
      <c r="H17" s="36"/>
      <c r="I17" s="36"/>
      <c r="J17" s="36"/>
    </row>
    <row r="18" spans="1:10" ht="31.5" customHeight="1">
      <c r="A18" s="21" t="s">
        <v>18</v>
      </c>
      <c r="B18" s="22" t="s">
        <v>19</v>
      </c>
      <c r="C18" s="43" t="s">
        <v>20</v>
      </c>
      <c r="D18" s="43"/>
      <c r="E18" s="22" t="s">
        <v>21</v>
      </c>
      <c r="F18" s="22" t="s">
        <v>22</v>
      </c>
      <c r="G18" s="22" t="s">
        <v>23</v>
      </c>
      <c r="H18" s="22" t="s">
        <v>24</v>
      </c>
      <c r="I18" s="22" t="s">
        <v>25</v>
      </c>
      <c r="J18" s="22" t="s">
        <v>26</v>
      </c>
    </row>
    <row r="19" spans="1:10" ht="19.5" customHeight="1">
      <c r="A19" s="20">
        <v>1</v>
      </c>
      <c r="B19" s="23"/>
      <c r="C19" s="41"/>
      <c r="D19" s="41"/>
      <c r="E19" s="24"/>
      <c r="F19" s="25"/>
      <c r="G19" s="26" t="str">
        <f t="shared" ref="G19:G26" si="0">IF(E19="","",E19*F19)</f>
        <v/>
      </c>
      <c r="H19" s="26" t="str">
        <f t="shared" ref="H19:H26" si="1">IF(E19="","",MIN(G19,$E$29*F19))</f>
        <v/>
      </c>
      <c r="I19" s="27" t="str">
        <f t="shared" ref="I19:I26" si="2">IF(E19="","",G19-H19)</f>
        <v/>
      </c>
      <c r="J19" s="23"/>
    </row>
    <row r="20" spans="1:10" ht="19.5" customHeight="1">
      <c r="A20" s="20">
        <v>2</v>
      </c>
      <c r="B20" s="23"/>
      <c r="C20" s="41"/>
      <c r="D20" s="41"/>
      <c r="E20" s="24"/>
      <c r="F20" s="25"/>
      <c r="G20" s="26" t="str">
        <f t="shared" si="0"/>
        <v/>
      </c>
      <c r="H20" s="26" t="str">
        <f t="shared" si="1"/>
        <v/>
      </c>
      <c r="I20" s="27" t="str">
        <f t="shared" si="2"/>
        <v/>
      </c>
      <c r="J20" s="23"/>
    </row>
    <row r="21" spans="1:10" ht="19.5" customHeight="1">
      <c r="A21" s="20">
        <v>3</v>
      </c>
      <c r="B21" s="23"/>
      <c r="C21" s="41"/>
      <c r="D21" s="41"/>
      <c r="E21" s="24"/>
      <c r="F21" s="25"/>
      <c r="G21" s="26" t="str">
        <f t="shared" si="0"/>
        <v/>
      </c>
      <c r="H21" s="26" t="str">
        <f t="shared" si="1"/>
        <v/>
      </c>
      <c r="I21" s="27" t="str">
        <f t="shared" si="2"/>
        <v/>
      </c>
      <c r="J21" s="23"/>
    </row>
    <row r="22" spans="1:10" ht="19.5" customHeight="1">
      <c r="A22" s="20">
        <v>4</v>
      </c>
      <c r="B22" s="23"/>
      <c r="C22" s="41"/>
      <c r="D22" s="41"/>
      <c r="E22" s="24"/>
      <c r="F22" s="25"/>
      <c r="G22" s="26" t="str">
        <f t="shared" si="0"/>
        <v/>
      </c>
      <c r="H22" s="26" t="str">
        <f t="shared" si="1"/>
        <v/>
      </c>
      <c r="I22" s="27" t="str">
        <f t="shared" si="2"/>
        <v/>
      </c>
      <c r="J22" s="23"/>
    </row>
    <row r="23" spans="1:10" ht="19.5" customHeight="1">
      <c r="A23" s="20">
        <v>5</v>
      </c>
      <c r="B23" s="23"/>
      <c r="C23" s="41"/>
      <c r="D23" s="41"/>
      <c r="E23" s="24"/>
      <c r="F23" s="25"/>
      <c r="G23" s="26" t="str">
        <f t="shared" si="0"/>
        <v/>
      </c>
      <c r="H23" s="26" t="str">
        <f t="shared" si="1"/>
        <v/>
      </c>
      <c r="I23" s="27" t="str">
        <f t="shared" si="2"/>
        <v/>
      </c>
      <c r="J23" s="23"/>
    </row>
    <row r="24" spans="1:10" ht="19.5" customHeight="1">
      <c r="A24" s="20">
        <v>6</v>
      </c>
      <c r="B24" s="23"/>
      <c r="C24" s="41"/>
      <c r="D24" s="41"/>
      <c r="E24" s="24"/>
      <c r="F24" s="25"/>
      <c r="G24" s="26" t="str">
        <f t="shared" si="0"/>
        <v/>
      </c>
      <c r="H24" s="26" t="str">
        <f t="shared" si="1"/>
        <v/>
      </c>
      <c r="I24" s="27" t="str">
        <f t="shared" si="2"/>
        <v/>
      </c>
      <c r="J24" s="23"/>
    </row>
    <row r="25" spans="1:10" ht="19.5" customHeight="1">
      <c r="A25" s="20">
        <v>7</v>
      </c>
      <c r="B25" s="23"/>
      <c r="C25" s="41"/>
      <c r="D25" s="41"/>
      <c r="E25" s="24"/>
      <c r="F25" s="25"/>
      <c r="G25" s="26" t="str">
        <f t="shared" si="0"/>
        <v/>
      </c>
      <c r="H25" s="26" t="str">
        <f t="shared" si="1"/>
        <v/>
      </c>
      <c r="I25" s="27" t="str">
        <f t="shared" si="2"/>
        <v/>
      </c>
      <c r="J25" s="23"/>
    </row>
    <row r="26" spans="1:10" ht="19.5" customHeight="1">
      <c r="A26" s="20">
        <v>8</v>
      </c>
      <c r="B26" s="23"/>
      <c r="C26" s="41"/>
      <c r="D26" s="41"/>
      <c r="E26" s="24"/>
      <c r="F26" s="25"/>
      <c r="G26" s="26" t="str">
        <f t="shared" si="0"/>
        <v/>
      </c>
      <c r="H26" s="26" t="str">
        <f t="shared" si="1"/>
        <v/>
      </c>
      <c r="I26" s="27" t="str">
        <f t="shared" si="2"/>
        <v/>
      </c>
      <c r="J26" s="23"/>
    </row>
    <row r="27" spans="1:10" ht="21.75" customHeight="1">
      <c r="A27" s="42" t="s">
        <v>27</v>
      </c>
      <c r="B27" s="42"/>
      <c r="C27" s="42"/>
      <c r="D27" s="42"/>
      <c r="E27" s="42"/>
      <c r="F27" s="42"/>
      <c r="G27" s="28">
        <f>SUM(G19:G26)</f>
        <v>0</v>
      </c>
      <c r="H27" s="28">
        <f>SUM(H19:H26)</f>
        <v>0</v>
      </c>
      <c r="I27" s="28">
        <f>SUM(I19:I26)</f>
        <v>0</v>
      </c>
      <c r="J27" s="29"/>
    </row>
    <row r="28" spans="1:10" ht="27.75" customHeight="1">
      <c r="A28" s="37" t="s">
        <v>28</v>
      </c>
      <c r="B28" s="37"/>
      <c r="C28" s="37"/>
      <c r="D28" s="37"/>
      <c r="E28" s="37"/>
      <c r="F28" s="37"/>
      <c r="G28" s="37"/>
      <c r="H28" s="37"/>
      <c r="I28" s="37"/>
      <c r="J28" s="37"/>
    </row>
    <row r="29" spans="1:10" ht="21.75" customHeight="1">
      <c r="A29" s="38" t="s">
        <v>29</v>
      </c>
      <c r="B29" s="38"/>
      <c r="C29" s="38"/>
      <c r="D29" s="38"/>
      <c r="E29" s="39">
        <v>50000</v>
      </c>
      <c r="F29" s="39"/>
      <c r="G29" s="40" t="s">
        <v>30</v>
      </c>
      <c r="H29" s="40"/>
      <c r="I29" s="40"/>
      <c r="J29" s="40"/>
    </row>
    <row r="31" spans="1:10" ht="21.75" customHeight="1">
      <c r="A31" s="36" t="s">
        <v>31</v>
      </c>
      <c r="B31" s="36"/>
      <c r="C31" s="36"/>
      <c r="D31" s="36"/>
      <c r="E31" s="36"/>
      <c r="F31" s="36"/>
      <c r="G31" s="36"/>
      <c r="H31" s="36"/>
      <c r="I31" s="36"/>
      <c r="J31" s="36"/>
    </row>
    <row r="32" spans="1:10" ht="19.5" customHeight="1">
      <c r="A32" s="20">
        <v>1</v>
      </c>
      <c r="B32" s="33" t="s">
        <v>32</v>
      </c>
      <c r="C32" s="33"/>
      <c r="D32" s="33"/>
      <c r="E32" s="33"/>
      <c r="F32" s="33"/>
      <c r="G32" s="33"/>
      <c r="H32" s="33"/>
      <c r="I32" s="33"/>
      <c r="J32" s="33"/>
    </row>
    <row r="33" spans="1:10" ht="19.5" customHeight="1">
      <c r="A33" s="20">
        <v>2</v>
      </c>
      <c r="B33" s="33" t="s">
        <v>33</v>
      </c>
      <c r="C33" s="33"/>
      <c r="D33" s="33"/>
      <c r="E33" s="33"/>
      <c r="F33" s="33"/>
      <c r="G33" s="33"/>
      <c r="H33" s="33"/>
      <c r="I33" s="33"/>
      <c r="J33" s="33"/>
    </row>
    <row r="34" spans="1:10" ht="19.5" customHeight="1">
      <c r="A34" s="20">
        <v>3</v>
      </c>
      <c r="B34" s="33" t="s">
        <v>34</v>
      </c>
      <c r="C34" s="33"/>
      <c r="D34" s="33"/>
      <c r="E34" s="33"/>
      <c r="F34" s="33"/>
      <c r="G34" s="33"/>
      <c r="H34" s="33"/>
      <c r="I34" s="33"/>
      <c r="J34" s="33"/>
    </row>
    <row r="35" spans="1:10" ht="19.5" customHeight="1">
      <c r="A35" s="20">
        <v>4</v>
      </c>
      <c r="B35" s="35" t="s">
        <v>145</v>
      </c>
      <c r="C35" s="33"/>
      <c r="D35" s="33"/>
      <c r="E35" s="33"/>
      <c r="F35" s="33"/>
      <c r="G35" s="33"/>
      <c r="H35" s="33"/>
      <c r="I35" s="33"/>
      <c r="J35" s="33"/>
    </row>
    <row r="37" spans="1:10" ht="21.75" customHeight="1">
      <c r="A37" s="36" t="s">
        <v>146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 ht="19.5" customHeight="1">
      <c r="A38" s="31" t="s">
        <v>143</v>
      </c>
      <c r="B38" s="31"/>
      <c r="C38" s="33" t="s">
        <v>38</v>
      </c>
      <c r="D38" s="33"/>
      <c r="E38" s="33"/>
      <c r="F38" s="33"/>
      <c r="G38" s="34"/>
      <c r="H38" s="34"/>
      <c r="I38" s="34"/>
      <c r="J38" s="34"/>
    </row>
    <row r="39" spans="1:10" ht="19.5" customHeight="1">
      <c r="A39" s="31"/>
      <c r="B39" s="31"/>
      <c r="C39" s="33" t="s">
        <v>39</v>
      </c>
      <c r="D39" s="33"/>
      <c r="E39" s="33"/>
      <c r="F39" s="33"/>
      <c r="G39" s="34"/>
      <c r="H39" s="34"/>
      <c r="I39" s="34"/>
      <c r="J39" s="34"/>
    </row>
    <row r="40" spans="1:10" ht="19.5" customHeight="1">
      <c r="A40" s="31"/>
      <c r="B40" s="31"/>
      <c r="C40" s="33" t="s">
        <v>40</v>
      </c>
      <c r="D40" s="33"/>
      <c r="E40" s="33"/>
      <c r="F40" s="33"/>
      <c r="G40" s="34"/>
      <c r="H40" s="34"/>
      <c r="I40" s="34"/>
      <c r="J40" s="34"/>
    </row>
    <row r="41" spans="1:10" ht="19.5" customHeight="1">
      <c r="A41" s="31" t="s">
        <v>142</v>
      </c>
      <c r="B41" s="32"/>
      <c r="C41" s="33" t="s">
        <v>42</v>
      </c>
      <c r="D41" s="33"/>
      <c r="E41" s="33"/>
      <c r="F41" s="33"/>
      <c r="G41" s="34"/>
      <c r="H41" s="34"/>
      <c r="I41" s="34"/>
      <c r="J41" s="34"/>
    </row>
  </sheetData>
  <mergeCells count="60">
    <mergeCell ref="A1:J1"/>
    <mergeCell ref="A2:J2"/>
    <mergeCell ref="A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A8:B8"/>
    <mergeCell ref="C8:E8"/>
    <mergeCell ref="F8:G8"/>
    <mergeCell ref="H8:J8"/>
    <mergeCell ref="A9:J9"/>
    <mergeCell ref="A11:J11"/>
    <mergeCell ref="A12:B12"/>
    <mergeCell ref="C12:J12"/>
    <mergeCell ref="A13:B13"/>
    <mergeCell ref="C13:J13"/>
    <mergeCell ref="A14:B14"/>
    <mergeCell ref="C14:J14"/>
    <mergeCell ref="A15:B15"/>
    <mergeCell ref="C15:J15"/>
    <mergeCell ref="A17:J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27:F27"/>
    <mergeCell ref="A28:J28"/>
    <mergeCell ref="A29:D29"/>
    <mergeCell ref="E29:F29"/>
    <mergeCell ref="G29:J29"/>
    <mergeCell ref="A31:J31"/>
    <mergeCell ref="B32:J32"/>
    <mergeCell ref="B33:J33"/>
    <mergeCell ref="B34:J34"/>
    <mergeCell ref="B35:J35"/>
    <mergeCell ref="A37:J37"/>
    <mergeCell ref="A41:B41"/>
    <mergeCell ref="C41:F41"/>
    <mergeCell ref="G41:J41"/>
    <mergeCell ref="A38:B40"/>
    <mergeCell ref="C38:F38"/>
    <mergeCell ref="G38:J38"/>
    <mergeCell ref="C39:F39"/>
    <mergeCell ref="G39:J39"/>
    <mergeCell ref="C40:F40"/>
    <mergeCell ref="G40:J40"/>
  </mergeCells>
  <phoneticPr fontId="27" type="noConversion"/>
  <pageMargins left="0.44" right="0.35" top="0.52" bottom="0.53" header="0.511811023622047" footer="0.511811023622047"/>
  <pageSetup scale="7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6"/>
  <sheetViews>
    <sheetView showGridLines="0" view="pageBreakPreview" topLeftCell="A14" zoomScale="60" zoomScaleNormal="100" workbookViewId="0">
      <selection sqref="A1:J1"/>
    </sheetView>
  </sheetViews>
  <sheetFormatPr defaultColWidth="8.7109375" defaultRowHeight="15"/>
  <cols>
    <col min="1" max="1" width="4.42578125" customWidth="1"/>
    <col min="2" max="2" width="16" customWidth="1"/>
    <col min="3" max="4" width="12" customWidth="1"/>
    <col min="5" max="5" width="13" customWidth="1"/>
    <col min="6" max="6" width="9" customWidth="1"/>
    <col min="7" max="9" width="13" customWidth="1"/>
    <col min="10" max="10" width="20" customWidth="1"/>
  </cols>
  <sheetData>
    <row r="1" spans="1:10" ht="33.75" customHeight="1">
      <c r="A1" s="47" t="s">
        <v>48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8" customHeight="1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4" spans="1:10" ht="21.75" customHeight="1">
      <c r="A4" s="58" t="s">
        <v>2</v>
      </c>
      <c r="B4" s="58"/>
      <c r="C4" s="58"/>
      <c r="D4" s="58"/>
      <c r="E4" s="58"/>
      <c r="F4" s="58"/>
      <c r="G4" s="58"/>
      <c r="H4" s="58"/>
      <c r="I4" s="58"/>
      <c r="J4" s="58"/>
    </row>
    <row r="5" spans="1:10" ht="24" customHeight="1">
      <c r="A5" s="55" t="s">
        <v>3</v>
      </c>
      <c r="B5" s="55"/>
      <c r="C5" s="56" t="s">
        <v>49</v>
      </c>
      <c r="D5" s="56"/>
      <c r="E5" s="56"/>
      <c r="F5" s="55" t="s">
        <v>4</v>
      </c>
      <c r="G5" s="55"/>
      <c r="H5" s="57" t="s">
        <v>50</v>
      </c>
      <c r="I5" s="57"/>
      <c r="J5" s="57"/>
    </row>
    <row r="6" spans="1:10" ht="24" customHeight="1">
      <c r="A6" s="55" t="s">
        <v>5</v>
      </c>
      <c r="B6" s="55"/>
      <c r="C6" s="56" t="s">
        <v>51</v>
      </c>
      <c r="D6" s="56"/>
      <c r="E6" s="56"/>
      <c r="F6" s="55" t="s">
        <v>6</v>
      </c>
      <c r="G6" s="55"/>
      <c r="H6" s="56" t="s">
        <v>52</v>
      </c>
      <c r="I6" s="56"/>
      <c r="J6" s="56"/>
    </row>
    <row r="7" spans="1:10" ht="24" customHeight="1">
      <c r="A7" s="55" t="s">
        <v>7</v>
      </c>
      <c r="B7" s="55"/>
      <c r="C7" s="57" t="s">
        <v>53</v>
      </c>
      <c r="D7" s="57"/>
      <c r="E7" s="57"/>
      <c r="F7" s="55" t="s">
        <v>8</v>
      </c>
      <c r="G7" s="55"/>
      <c r="H7" s="56" t="s">
        <v>54</v>
      </c>
      <c r="I7" s="56"/>
      <c r="J7" s="56"/>
    </row>
    <row r="8" spans="1:10" ht="24" customHeight="1">
      <c r="A8" s="55" t="s">
        <v>9</v>
      </c>
      <c r="B8" s="55"/>
      <c r="C8" s="56" t="s">
        <v>55</v>
      </c>
      <c r="D8" s="56"/>
      <c r="E8" s="56"/>
      <c r="F8" s="55" t="s">
        <v>10</v>
      </c>
      <c r="G8" s="55"/>
      <c r="H8" s="56" t="s">
        <v>56</v>
      </c>
      <c r="I8" s="56"/>
      <c r="J8" s="56"/>
    </row>
    <row r="9" spans="1:10" ht="15" customHeight="1">
      <c r="A9" s="46" t="s">
        <v>11</v>
      </c>
      <c r="B9" s="46"/>
      <c r="C9" s="46"/>
      <c r="D9" s="46"/>
      <c r="E9" s="46"/>
      <c r="F9" s="46"/>
      <c r="G9" s="46"/>
      <c r="H9" s="46"/>
      <c r="I9" s="46"/>
      <c r="J9" s="46"/>
    </row>
    <row r="11" spans="1:10" ht="21.75" customHeight="1">
      <c r="A11" s="58" t="s">
        <v>12</v>
      </c>
      <c r="B11" s="58"/>
      <c r="C11" s="58"/>
      <c r="D11" s="58"/>
      <c r="E11" s="58"/>
      <c r="F11" s="58"/>
      <c r="G11" s="58"/>
      <c r="H11" s="58"/>
      <c r="I11" s="58"/>
      <c r="J11" s="58"/>
    </row>
    <row r="12" spans="1:10" ht="45.75" customHeight="1">
      <c r="A12" s="55" t="s">
        <v>13</v>
      </c>
      <c r="B12" s="55"/>
      <c r="C12" s="56" t="s">
        <v>57</v>
      </c>
      <c r="D12" s="56"/>
      <c r="E12" s="56"/>
      <c r="F12" s="56"/>
      <c r="G12" s="56"/>
      <c r="H12" s="56"/>
      <c r="I12" s="56"/>
      <c r="J12" s="56"/>
    </row>
    <row r="13" spans="1:10" ht="30" customHeight="1">
      <c r="A13" s="55" t="s">
        <v>14</v>
      </c>
      <c r="B13" s="55"/>
      <c r="C13" s="56" t="s">
        <v>58</v>
      </c>
      <c r="D13" s="56"/>
      <c r="E13" s="56"/>
      <c r="F13" s="56"/>
      <c r="G13" s="56"/>
      <c r="H13" s="56"/>
      <c r="I13" s="56"/>
      <c r="J13" s="56"/>
    </row>
    <row r="14" spans="1:10" ht="30" customHeight="1">
      <c r="A14" s="55" t="s">
        <v>15</v>
      </c>
      <c r="B14" s="55"/>
      <c r="C14" s="56" t="s">
        <v>59</v>
      </c>
      <c r="D14" s="56"/>
      <c r="E14" s="56"/>
      <c r="F14" s="56"/>
      <c r="G14" s="56"/>
      <c r="H14" s="56"/>
      <c r="I14" s="56"/>
      <c r="J14" s="56"/>
    </row>
    <row r="15" spans="1:10" ht="30" customHeight="1">
      <c r="A15" s="55" t="s">
        <v>16</v>
      </c>
      <c r="B15" s="55"/>
      <c r="C15" s="57" t="s">
        <v>60</v>
      </c>
      <c r="D15" s="57"/>
      <c r="E15" s="57"/>
      <c r="F15" s="57"/>
      <c r="G15" s="57"/>
      <c r="H15" s="57"/>
      <c r="I15" s="57"/>
      <c r="J15" s="57"/>
    </row>
    <row r="17" spans="1:10" ht="21.75" customHeight="1">
      <c r="A17" s="58" t="s">
        <v>17</v>
      </c>
      <c r="B17" s="58"/>
      <c r="C17" s="58"/>
      <c r="D17" s="58"/>
      <c r="E17" s="58"/>
      <c r="F17" s="58"/>
      <c r="G17" s="58"/>
      <c r="H17" s="58"/>
      <c r="I17" s="58"/>
      <c r="J17" s="58"/>
    </row>
    <row r="18" spans="1:10" ht="31.5" customHeight="1">
      <c r="A18" s="1" t="s">
        <v>18</v>
      </c>
      <c r="B18" s="2" t="s">
        <v>19</v>
      </c>
      <c r="C18" s="54" t="s">
        <v>20</v>
      </c>
      <c r="D18" s="54"/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19.5" customHeight="1">
      <c r="A19" s="3">
        <v>1</v>
      </c>
      <c r="B19" s="30" t="s">
        <v>61</v>
      </c>
      <c r="C19" s="52" t="s">
        <v>62</v>
      </c>
      <c r="D19" s="52"/>
      <c r="E19" s="16">
        <v>150000</v>
      </c>
      <c r="F19" s="17">
        <v>2</v>
      </c>
      <c r="G19" s="18">
        <f t="shared" ref="G19:G26" si="0">IF(E19="","",E19*F19)</f>
        <v>300000</v>
      </c>
      <c r="H19" s="18">
        <f t="shared" ref="H19:H26" si="1">IF(E19="","",MIN(G19,$E$29*F19))</f>
        <v>100000</v>
      </c>
      <c r="I19" s="19">
        <f t="shared" ref="I19:I26" si="2">IF(E19="","",G19-H19)</f>
        <v>200000</v>
      </c>
      <c r="J19" s="30" t="s">
        <v>63</v>
      </c>
    </row>
    <row r="20" spans="1:10" ht="19.5" customHeight="1">
      <c r="A20" s="3">
        <v>2</v>
      </c>
      <c r="B20" s="30" t="s">
        <v>51</v>
      </c>
      <c r="C20" s="52" t="s">
        <v>64</v>
      </c>
      <c r="D20" s="52"/>
      <c r="E20" s="16">
        <v>60000</v>
      </c>
      <c r="F20" s="17">
        <v>2</v>
      </c>
      <c r="G20" s="18">
        <f t="shared" si="0"/>
        <v>120000</v>
      </c>
      <c r="H20" s="18">
        <f t="shared" si="1"/>
        <v>100000</v>
      </c>
      <c r="I20" s="19">
        <f t="shared" si="2"/>
        <v>20000</v>
      </c>
      <c r="J20" s="30" t="s">
        <v>65</v>
      </c>
    </row>
    <row r="21" spans="1:10" ht="19.5" customHeight="1">
      <c r="A21" s="3">
        <v>3</v>
      </c>
      <c r="B21" s="15"/>
      <c r="C21" s="52"/>
      <c r="D21" s="52"/>
      <c r="E21" s="16"/>
      <c r="F21" s="17"/>
      <c r="G21" s="18" t="str">
        <f t="shared" si="0"/>
        <v/>
      </c>
      <c r="H21" s="18" t="str">
        <f t="shared" si="1"/>
        <v/>
      </c>
      <c r="I21" s="19" t="str">
        <f t="shared" si="2"/>
        <v/>
      </c>
      <c r="J21" s="15"/>
    </row>
    <row r="22" spans="1:10" ht="19.5" customHeight="1">
      <c r="A22" s="3">
        <v>4</v>
      </c>
      <c r="B22" s="15"/>
      <c r="C22" s="52"/>
      <c r="D22" s="52"/>
      <c r="E22" s="16"/>
      <c r="F22" s="17"/>
      <c r="G22" s="18" t="str">
        <f t="shared" si="0"/>
        <v/>
      </c>
      <c r="H22" s="18" t="str">
        <f t="shared" si="1"/>
        <v/>
      </c>
      <c r="I22" s="19" t="str">
        <f t="shared" si="2"/>
        <v/>
      </c>
      <c r="J22" s="15"/>
    </row>
    <row r="23" spans="1:10" ht="19.5" customHeight="1">
      <c r="A23" s="3">
        <v>5</v>
      </c>
      <c r="B23" s="15"/>
      <c r="C23" s="52"/>
      <c r="D23" s="52"/>
      <c r="E23" s="16"/>
      <c r="F23" s="17"/>
      <c r="G23" s="18" t="str">
        <f t="shared" si="0"/>
        <v/>
      </c>
      <c r="H23" s="18" t="str">
        <f t="shared" si="1"/>
        <v/>
      </c>
      <c r="I23" s="19" t="str">
        <f t="shared" si="2"/>
        <v/>
      </c>
      <c r="J23" s="15"/>
    </row>
    <row r="24" spans="1:10" ht="19.5" customHeight="1">
      <c r="A24" s="3">
        <v>6</v>
      </c>
      <c r="B24" s="15"/>
      <c r="C24" s="52"/>
      <c r="D24" s="52"/>
      <c r="E24" s="16"/>
      <c r="F24" s="17"/>
      <c r="G24" s="18" t="str">
        <f t="shared" si="0"/>
        <v/>
      </c>
      <c r="H24" s="18" t="str">
        <f t="shared" si="1"/>
        <v/>
      </c>
      <c r="I24" s="19" t="str">
        <f t="shared" si="2"/>
        <v/>
      </c>
      <c r="J24" s="15"/>
    </row>
    <row r="25" spans="1:10" ht="19.5" customHeight="1">
      <c r="A25" s="3">
        <v>7</v>
      </c>
      <c r="B25" s="15"/>
      <c r="C25" s="52"/>
      <c r="D25" s="52"/>
      <c r="E25" s="16"/>
      <c r="F25" s="17"/>
      <c r="G25" s="18" t="str">
        <f t="shared" si="0"/>
        <v/>
      </c>
      <c r="H25" s="18" t="str">
        <f t="shared" si="1"/>
        <v/>
      </c>
      <c r="I25" s="19" t="str">
        <f t="shared" si="2"/>
        <v/>
      </c>
      <c r="J25" s="15"/>
    </row>
    <row r="26" spans="1:10" ht="19.5" customHeight="1">
      <c r="A26" s="3">
        <v>8</v>
      </c>
      <c r="B26" s="15"/>
      <c r="C26" s="52"/>
      <c r="D26" s="52"/>
      <c r="E26" s="16"/>
      <c r="F26" s="17"/>
      <c r="G26" s="18" t="str">
        <f t="shared" si="0"/>
        <v/>
      </c>
      <c r="H26" s="18" t="str">
        <f t="shared" si="1"/>
        <v/>
      </c>
      <c r="I26" s="19" t="str">
        <f t="shared" si="2"/>
        <v/>
      </c>
      <c r="J26" s="15"/>
    </row>
    <row r="27" spans="1:10" ht="21.75" customHeight="1">
      <c r="A27" s="53" t="s">
        <v>27</v>
      </c>
      <c r="B27" s="53"/>
      <c r="C27" s="53"/>
      <c r="D27" s="53"/>
      <c r="E27" s="53"/>
      <c r="F27" s="53"/>
      <c r="G27" s="4">
        <f>SUM(G19:G26)</f>
        <v>420000</v>
      </c>
      <c r="H27" s="4">
        <f>SUM(H19:H26)</f>
        <v>200000</v>
      </c>
      <c r="I27" s="4">
        <f>SUM(I19:I26)</f>
        <v>220000</v>
      </c>
      <c r="J27" s="5"/>
    </row>
    <row r="28" spans="1:10" ht="27.75" customHeight="1">
      <c r="A28" s="37" t="s">
        <v>28</v>
      </c>
      <c r="B28" s="37"/>
      <c r="C28" s="37"/>
      <c r="D28" s="37"/>
      <c r="E28" s="37"/>
      <c r="F28" s="37"/>
      <c r="G28" s="37"/>
      <c r="H28" s="37"/>
      <c r="I28" s="37"/>
      <c r="J28" s="37"/>
    </row>
    <row r="29" spans="1:10" ht="21.75" customHeight="1">
      <c r="A29" s="38" t="s">
        <v>29</v>
      </c>
      <c r="B29" s="38"/>
      <c r="C29" s="38"/>
      <c r="D29" s="38"/>
      <c r="E29" s="39">
        <v>50000</v>
      </c>
      <c r="F29" s="39"/>
      <c r="G29" s="40" t="s">
        <v>30</v>
      </c>
      <c r="H29" s="40"/>
      <c r="I29" s="40"/>
      <c r="J29" s="40"/>
    </row>
    <row r="31" spans="1:10" ht="21.75" customHeight="1">
      <c r="A31" s="36" t="s">
        <v>31</v>
      </c>
      <c r="B31" s="36"/>
      <c r="C31" s="36"/>
      <c r="D31" s="36"/>
      <c r="E31" s="36"/>
      <c r="F31" s="36"/>
      <c r="G31" s="36"/>
      <c r="H31" s="36"/>
      <c r="I31" s="36"/>
      <c r="J31" s="36"/>
    </row>
    <row r="32" spans="1:10" ht="19.5" customHeight="1">
      <c r="A32" s="20">
        <v>1</v>
      </c>
      <c r="B32" s="33" t="s">
        <v>32</v>
      </c>
      <c r="C32" s="33"/>
      <c r="D32" s="33"/>
      <c r="E32" s="33"/>
      <c r="F32" s="33"/>
      <c r="G32" s="33"/>
      <c r="H32" s="33"/>
      <c r="I32" s="33"/>
      <c r="J32" s="33"/>
    </row>
    <row r="33" spans="1:10" ht="19.5" customHeight="1">
      <c r="A33" s="20">
        <v>2</v>
      </c>
      <c r="B33" s="33" t="s">
        <v>33</v>
      </c>
      <c r="C33" s="33"/>
      <c r="D33" s="33"/>
      <c r="E33" s="33"/>
      <c r="F33" s="33"/>
      <c r="G33" s="33"/>
      <c r="H33" s="33"/>
      <c r="I33" s="33"/>
      <c r="J33" s="33"/>
    </row>
    <row r="34" spans="1:10" ht="19.5" customHeight="1">
      <c r="A34" s="20">
        <v>3</v>
      </c>
      <c r="B34" s="33" t="s">
        <v>34</v>
      </c>
      <c r="C34" s="33"/>
      <c r="D34" s="33"/>
      <c r="E34" s="33"/>
      <c r="F34" s="33"/>
      <c r="G34" s="33"/>
      <c r="H34" s="33"/>
      <c r="I34" s="33"/>
      <c r="J34" s="33"/>
    </row>
    <row r="35" spans="1:10" ht="19.5" customHeight="1">
      <c r="A35" s="20">
        <v>4</v>
      </c>
      <c r="B35" s="33" t="s">
        <v>35</v>
      </c>
      <c r="C35" s="33"/>
      <c r="D35" s="33"/>
      <c r="E35" s="33"/>
      <c r="F35" s="33"/>
      <c r="G35" s="33"/>
      <c r="H35" s="33"/>
      <c r="I35" s="33"/>
      <c r="J35" s="33"/>
    </row>
    <row r="37" spans="1:10" ht="21.75" customHeight="1">
      <c r="A37" s="36" t="s">
        <v>36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 ht="19.5" customHeight="1">
      <c r="A38" s="31" t="s">
        <v>37</v>
      </c>
      <c r="B38" s="31"/>
      <c r="C38" s="33" t="s">
        <v>38</v>
      </c>
      <c r="D38" s="33"/>
      <c r="E38" s="33"/>
      <c r="F38" s="33"/>
      <c r="G38" s="51" t="s">
        <v>66</v>
      </c>
      <c r="H38" s="51"/>
      <c r="I38" s="51"/>
      <c r="J38" s="51"/>
    </row>
    <row r="39" spans="1:10" ht="19.5" customHeight="1">
      <c r="A39" s="31"/>
      <c r="B39" s="31"/>
      <c r="C39" s="33" t="s">
        <v>39</v>
      </c>
      <c r="D39" s="33"/>
      <c r="E39" s="33"/>
      <c r="F39" s="33"/>
      <c r="G39" s="51"/>
      <c r="H39" s="51"/>
      <c r="I39" s="51"/>
      <c r="J39" s="51"/>
    </row>
    <row r="40" spans="1:10" ht="19.5" customHeight="1">
      <c r="A40" s="31"/>
      <c r="B40" s="31"/>
      <c r="C40" s="33" t="s">
        <v>40</v>
      </c>
      <c r="D40" s="33"/>
      <c r="E40" s="33"/>
      <c r="F40" s="33"/>
      <c r="G40" s="51" t="s">
        <v>67</v>
      </c>
      <c r="H40" s="51"/>
      <c r="I40" s="51"/>
      <c r="J40" s="51"/>
    </row>
    <row r="41" spans="1:10" ht="19.5" customHeight="1">
      <c r="A41" s="32" t="s">
        <v>41</v>
      </c>
      <c r="B41" s="32"/>
      <c r="C41" s="33" t="s">
        <v>42</v>
      </c>
      <c r="D41" s="33"/>
      <c r="E41" s="33"/>
      <c r="F41" s="33"/>
      <c r="G41" s="50" t="s">
        <v>43</v>
      </c>
      <c r="H41" s="50"/>
      <c r="I41" s="50"/>
      <c r="J41" s="50"/>
    </row>
    <row r="42" spans="1:10" ht="19.5" customHeight="1">
      <c r="A42" s="32"/>
      <c r="B42" s="32"/>
      <c r="C42" s="33"/>
      <c r="D42" s="33"/>
      <c r="E42" s="33"/>
      <c r="F42" s="33"/>
      <c r="G42" s="50"/>
      <c r="H42" s="50"/>
      <c r="I42" s="50"/>
      <c r="J42" s="50"/>
    </row>
    <row r="43" spans="1:10" ht="19.5" customHeight="1">
      <c r="A43" s="32" t="s">
        <v>44</v>
      </c>
      <c r="B43" s="32"/>
      <c r="C43" s="33" t="s">
        <v>45</v>
      </c>
      <c r="D43" s="33"/>
      <c r="E43" s="33"/>
      <c r="F43" s="33"/>
      <c r="G43" s="50" t="s">
        <v>46</v>
      </c>
      <c r="H43" s="50"/>
      <c r="I43" s="50"/>
      <c r="J43" s="50"/>
    </row>
    <row r="44" spans="1:10" ht="19.5" customHeight="1">
      <c r="A44" s="32"/>
      <c r="B44" s="32"/>
      <c r="C44" s="33"/>
      <c r="D44" s="33"/>
      <c r="E44" s="33"/>
      <c r="F44" s="33"/>
      <c r="G44" s="50"/>
      <c r="H44" s="50"/>
      <c r="I44" s="50"/>
      <c r="J44" s="50"/>
    </row>
    <row r="46" spans="1:10" ht="15" customHeight="1">
      <c r="A46" s="46" t="s">
        <v>47</v>
      </c>
      <c r="B46" s="46"/>
      <c r="C46" s="46"/>
      <c r="D46" s="46"/>
      <c r="E46" s="46"/>
      <c r="F46" s="46"/>
      <c r="G46" s="46"/>
      <c r="H46" s="46"/>
      <c r="I46" s="46"/>
      <c r="J46" s="46"/>
    </row>
  </sheetData>
  <mergeCells count="64">
    <mergeCell ref="A1:J1"/>
    <mergeCell ref="A2:J2"/>
    <mergeCell ref="A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A8:B8"/>
    <mergeCell ref="C8:E8"/>
    <mergeCell ref="F8:G8"/>
    <mergeCell ref="H8:J8"/>
    <mergeCell ref="A9:J9"/>
    <mergeCell ref="A11:J11"/>
    <mergeCell ref="A12:B12"/>
    <mergeCell ref="C12:J12"/>
    <mergeCell ref="A13:B13"/>
    <mergeCell ref="C13:J13"/>
    <mergeCell ref="A14:B14"/>
    <mergeCell ref="C14:J14"/>
    <mergeCell ref="A15:B15"/>
    <mergeCell ref="C15:J15"/>
    <mergeCell ref="A17:J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A27:F27"/>
    <mergeCell ref="A28:J28"/>
    <mergeCell ref="A29:D29"/>
    <mergeCell ref="E29:F29"/>
    <mergeCell ref="G29:J29"/>
    <mergeCell ref="A31:J31"/>
    <mergeCell ref="B32:J32"/>
    <mergeCell ref="B33:J33"/>
    <mergeCell ref="B34:J34"/>
    <mergeCell ref="B35:J35"/>
    <mergeCell ref="A37:J37"/>
    <mergeCell ref="A38:B40"/>
    <mergeCell ref="C38:F38"/>
    <mergeCell ref="G38:J38"/>
    <mergeCell ref="C39:F39"/>
    <mergeCell ref="G39:J39"/>
    <mergeCell ref="C40:F40"/>
    <mergeCell ref="G40:J40"/>
    <mergeCell ref="A46:J46"/>
    <mergeCell ref="A41:B42"/>
    <mergeCell ref="C41:F42"/>
    <mergeCell ref="G41:J42"/>
    <mergeCell ref="A43:B44"/>
    <mergeCell ref="C43:F44"/>
    <mergeCell ref="G43:J44"/>
  </mergeCells>
  <phoneticPr fontId="27" type="noConversion"/>
  <pageMargins left="0.75" right="0.75" top="1" bottom="1" header="0.511811023622047" footer="0.511811023622047"/>
  <pageSetup scale="6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view="pageBreakPreview" zoomScale="60" zoomScaleNormal="100" workbookViewId="0">
      <selection activeCell="K14" sqref="K14"/>
    </sheetView>
  </sheetViews>
  <sheetFormatPr defaultColWidth="8.7109375" defaultRowHeight="15"/>
  <cols>
    <col min="1" max="1" width="4.42578125" customWidth="1"/>
    <col min="2" max="3" width="20" customWidth="1"/>
    <col min="4" max="5" width="14" customWidth="1"/>
    <col min="6" max="6" width="46" customWidth="1"/>
  </cols>
  <sheetData>
    <row r="1" spans="1:6" ht="30" customHeight="1">
      <c r="A1" s="59" t="s">
        <v>68</v>
      </c>
      <c r="B1" s="59"/>
      <c r="C1" s="59"/>
      <c r="D1" s="59"/>
      <c r="E1" s="59"/>
      <c r="F1" s="59"/>
    </row>
    <row r="2" spans="1:6" ht="15" customHeight="1">
      <c r="A2" s="60" t="s">
        <v>69</v>
      </c>
      <c r="B2" s="60"/>
      <c r="C2" s="60"/>
      <c r="D2" s="60"/>
      <c r="E2" s="60"/>
      <c r="F2" s="60"/>
    </row>
    <row r="4" spans="1:6" ht="24" customHeight="1">
      <c r="A4" s="6" t="s">
        <v>18</v>
      </c>
      <c r="B4" s="7" t="s">
        <v>70</v>
      </c>
      <c r="C4" s="7" t="s">
        <v>71</v>
      </c>
      <c r="D4" s="7" t="s">
        <v>72</v>
      </c>
      <c r="E4" s="7" t="s">
        <v>73</v>
      </c>
      <c r="F4" s="7" t="s">
        <v>74</v>
      </c>
    </row>
    <row r="5" spans="1:6" ht="19.5" customHeight="1">
      <c r="A5" s="3">
        <v>1</v>
      </c>
      <c r="B5" s="8" t="s">
        <v>75</v>
      </c>
      <c r="C5" s="8" t="s">
        <v>76</v>
      </c>
      <c r="D5" s="9">
        <v>30000</v>
      </c>
      <c r="E5" s="9">
        <v>300000</v>
      </c>
      <c r="F5" s="10" t="s">
        <v>77</v>
      </c>
    </row>
    <row r="6" spans="1:6" ht="19.5" customHeight="1">
      <c r="A6" s="3">
        <v>2</v>
      </c>
      <c r="B6" s="8" t="s">
        <v>75</v>
      </c>
      <c r="C6" s="8" t="s">
        <v>78</v>
      </c>
      <c r="D6" s="9">
        <v>150000</v>
      </c>
      <c r="E6" s="9">
        <v>1500000</v>
      </c>
      <c r="F6" s="10" t="s">
        <v>79</v>
      </c>
    </row>
    <row r="7" spans="1:6" ht="19.5" customHeight="1">
      <c r="A7" s="3">
        <v>3</v>
      </c>
      <c r="B7" s="8" t="s">
        <v>75</v>
      </c>
      <c r="C7" s="8" t="s">
        <v>80</v>
      </c>
      <c r="D7" s="9">
        <v>300000</v>
      </c>
      <c r="E7" s="9">
        <v>3000000</v>
      </c>
      <c r="F7" s="10" t="s">
        <v>81</v>
      </c>
    </row>
    <row r="8" spans="1:6" ht="19.5" customHeight="1">
      <c r="A8" s="3">
        <v>4</v>
      </c>
      <c r="B8" s="8" t="s">
        <v>82</v>
      </c>
      <c r="C8" s="8" t="s">
        <v>83</v>
      </c>
      <c r="D8" s="9">
        <v>30000</v>
      </c>
      <c r="E8" s="9"/>
      <c r="F8" s="10" t="s">
        <v>84</v>
      </c>
    </row>
    <row r="9" spans="1:6" ht="19.5" customHeight="1">
      <c r="A9" s="3">
        <v>5</v>
      </c>
      <c r="B9" s="8" t="s">
        <v>82</v>
      </c>
      <c r="C9" s="8" t="s">
        <v>76</v>
      </c>
      <c r="D9" s="9">
        <v>300000</v>
      </c>
      <c r="E9" s="9"/>
      <c r="F9" s="10" t="s">
        <v>85</v>
      </c>
    </row>
    <row r="10" spans="1:6" ht="19.5" customHeight="1">
      <c r="A10" s="3">
        <v>6</v>
      </c>
      <c r="B10" s="8" t="s">
        <v>86</v>
      </c>
      <c r="C10" s="8" t="s">
        <v>87</v>
      </c>
      <c r="D10" s="9">
        <v>30000</v>
      </c>
      <c r="E10" s="9"/>
      <c r="F10" s="10" t="s">
        <v>88</v>
      </c>
    </row>
    <row r="11" spans="1:6" ht="19.5" customHeight="1">
      <c r="A11" s="3">
        <v>7</v>
      </c>
      <c r="B11" s="8" t="s">
        <v>89</v>
      </c>
      <c r="C11" s="8" t="s">
        <v>76</v>
      </c>
      <c r="D11" s="9">
        <v>30000</v>
      </c>
      <c r="E11" s="9"/>
      <c r="F11" s="10" t="s">
        <v>90</v>
      </c>
    </row>
    <row r="12" spans="1:6" ht="19.5" customHeight="1">
      <c r="A12" s="3">
        <v>8</v>
      </c>
      <c r="B12" s="8" t="s">
        <v>91</v>
      </c>
      <c r="C12" s="8" t="s">
        <v>92</v>
      </c>
      <c r="D12" s="9">
        <v>30000</v>
      </c>
      <c r="E12" s="9"/>
      <c r="F12" s="10" t="s">
        <v>93</v>
      </c>
    </row>
    <row r="13" spans="1:6" ht="19.5" customHeight="1">
      <c r="A13" s="3">
        <v>9</v>
      </c>
      <c r="B13" s="8"/>
      <c r="C13" s="8"/>
      <c r="D13" s="9"/>
      <c r="E13" s="9"/>
      <c r="F13" s="8"/>
    </row>
    <row r="14" spans="1:6" ht="19.5" customHeight="1">
      <c r="A14" s="3">
        <v>10</v>
      </c>
      <c r="B14" s="8"/>
      <c r="C14" s="8"/>
      <c r="D14" s="9"/>
      <c r="E14" s="9"/>
      <c r="F14" s="8"/>
    </row>
    <row r="16" spans="1:6" ht="15" customHeight="1">
      <c r="A16" s="46" t="s">
        <v>94</v>
      </c>
      <c r="B16" s="46"/>
      <c r="C16" s="46"/>
      <c r="D16" s="46"/>
      <c r="E16" s="46"/>
      <c r="F16" s="46"/>
    </row>
  </sheetData>
  <mergeCells count="3">
    <mergeCell ref="A1:F1"/>
    <mergeCell ref="A2:F2"/>
    <mergeCell ref="A16:F16"/>
  </mergeCells>
  <phoneticPr fontId="27" type="noConversion"/>
  <pageMargins left="0.75" right="0.75" top="1" bottom="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view="pageBreakPreview" zoomScale="60" zoomScaleNormal="100" workbookViewId="0">
      <selection sqref="A1:E1"/>
    </sheetView>
  </sheetViews>
  <sheetFormatPr defaultColWidth="8.7109375" defaultRowHeight="15"/>
  <cols>
    <col min="1" max="1" width="6" customWidth="1"/>
    <col min="2" max="2" width="22" customWidth="1"/>
    <col min="3" max="3" width="20" customWidth="1"/>
    <col min="4" max="4" width="12" customWidth="1"/>
    <col min="5" max="5" width="60" customWidth="1"/>
  </cols>
  <sheetData>
    <row r="1" spans="1:5" ht="30" customHeight="1">
      <c r="A1" s="59" t="s">
        <v>95</v>
      </c>
      <c r="B1" s="59"/>
      <c r="C1" s="59"/>
      <c r="D1" s="59"/>
      <c r="E1" s="59"/>
    </row>
    <row r="3" spans="1:5" ht="24" customHeight="1">
      <c r="A3" s="7" t="s">
        <v>96</v>
      </c>
      <c r="B3" s="7" t="s">
        <v>97</v>
      </c>
      <c r="C3" s="7" t="s">
        <v>98</v>
      </c>
      <c r="D3" s="7" t="s">
        <v>99</v>
      </c>
      <c r="E3" s="7" t="s">
        <v>100</v>
      </c>
    </row>
    <row r="4" spans="1:5" ht="24" customHeight="1">
      <c r="A4" s="11" t="s">
        <v>101</v>
      </c>
      <c r="B4" s="12" t="s">
        <v>102</v>
      </c>
      <c r="C4" s="13" t="s">
        <v>3</v>
      </c>
      <c r="D4" s="3" t="s">
        <v>103</v>
      </c>
      <c r="E4" s="10" t="s">
        <v>104</v>
      </c>
    </row>
    <row r="5" spans="1:5" ht="24" customHeight="1">
      <c r="A5" s="11" t="s">
        <v>105</v>
      </c>
      <c r="B5" s="12" t="s">
        <v>106</v>
      </c>
      <c r="C5" s="13" t="s">
        <v>107</v>
      </c>
      <c r="D5" s="3" t="s">
        <v>108</v>
      </c>
      <c r="E5" s="10" t="s">
        <v>109</v>
      </c>
    </row>
    <row r="6" spans="1:5" ht="24" customHeight="1">
      <c r="A6" s="11" t="s">
        <v>110</v>
      </c>
      <c r="B6" s="12" t="s">
        <v>111</v>
      </c>
      <c r="C6" s="3" t="s">
        <v>112</v>
      </c>
      <c r="D6" s="3" t="s">
        <v>103</v>
      </c>
      <c r="E6" s="10" t="s">
        <v>113</v>
      </c>
    </row>
    <row r="7" spans="1:5" ht="24" customHeight="1">
      <c r="A7" s="11" t="s">
        <v>114</v>
      </c>
      <c r="B7" s="14" t="s">
        <v>115</v>
      </c>
      <c r="C7" s="3" t="s">
        <v>112</v>
      </c>
      <c r="D7" s="3" t="s">
        <v>116</v>
      </c>
      <c r="E7" s="10" t="s">
        <v>117</v>
      </c>
    </row>
    <row r="8" spans="1:5" ht="24" customHeight="1">
      <c r="A8" s="11" t="s">
        <v>118</v>
      </c>
      <c r="B8" s="12" t="s">
        <v>119</v>
      </c>
      <c r="C8" s="13" t="s">
        <v>49</v>
      </c>
      <c r="D8" s="3" t="s">
        <v>116</v>
      </c>
      <c r="E8" s="10" t="s">
        <v>120</v>
      </c>
    </row>
    <row r="9" spans="1:5" ht="24" customHeight="1">
      <c r="A9" s="11" t="s">
        <v>121</v>
      </c>
      <c r="B9" s="12" t="s">
        <v>44</v>
      </c>
      <c r="C9" s="13" t="s">
        <v>122</v>
      </c>
      <c r="D9" s="3" t="s">
        <v>123</v>
      </c>
      <c r="E9" s="10" t="s">
        <v>124</v>
      </c>
    </row>
    <row r="10" spans="1:5" ht="24" customHeight="1">
      <c r="A10" s="11" t="s">
        <v>125</v>
      </c>
      <c r="B10" s="12" t="s">
        <v>126</v>
      </c>
      <c r="C10" s="13" t="s">
        <v>3</v>
      </c>
      <c r="D10" s="3" t="s">
        <v>103</v>
      </c>
      <c r="E10" s="10" t="s">
        <v>127</v>
      </c>
    </row>
    <row r="11" spans="1:5" ht="24" customHeight="1">
      <c r="A11" s="11" t="s">
        <v>128</v>
      </c>
      <c r="B11" s="12" t="s">
        <v>129</v>
      </c>
      <c r="C11" s="13" t="s">
        <v>130</v>
      </c>
      <c r="D11" s="13" t="s">
        <v>131</v>
      </c>
      <c r="E11" s="10" t="s">
        <v>132</v>
      </c>
    </row>
    <row r="12" spans="1:5" ht="24" customHeight="1">
      <c r="A12" s="11" t="s">
        <v>133</v>
      </c>
      <c r="B12" s="12" t="s">
        <v>134</v>
      </c>
      <c r="C12" s="13" t="s">
        <v>49</v>
      </c>
      <c r="D12" s="3" t="s">
        <v>103</v>
      </c>
      <c r="E12" s="10" t="s">
        <v>135</v>
      </c>
    </row>
    <row r="14" spans="1:5" ht="21.75" customHeight="1">
      <c r="A14" s="62" t="s">
        <v>136</v>
      </c>
      <c r="B14" s="62"/>
      <c r="C14" s="62"/>
      <c r="D14" s="62"/>
      <c r="E14" s="62"/>
    </row>
    <row r="15" spans="1:5" ht="18.75" customHeight="1">
      <c r="A15" s="61" t="s">
        <v>137</v>
      </c>
      <c r="B15" s="61"/>
      <c r="C15" s="61"/>
      <c r="D15" s="61"/>
      <c r="E15" s="61"/>
    </row>
    <row r="16" spans="1:5" ht="18.75" customHeight="1">
      <c r="A16" s="61" t="s">
        <v>138</v>
      </c>
      <c r="B16" s="61"/>
      <c r="C16" s="61"/>
      <c r="D16" s="61"/>
      <c r="E16" s="61"/>
    </row>
    <row r="17" spans="1:5" ht="18.75" customHeight="1">
      <c r="A17" s="61" t="s">
        <v>139</v>
      </c>
      <c r="B17" s="61"/>
      <c r="C17" s="61"/>
      <c r="D17" s="61"/>
      <c r="E17" s="61"/>
    </row>
    <row r="18" spans="1:5" ht="18.75" customHeight="1">
      <c r="A18" s="61" t="s">
        <v>140</v>
      </c>
      <c r="B18" s="61"/>
      <c r="C18" s="61"/>
      <c r="D18" s="61"/>
      <c r="E18" s="61"/>
    </row>
    <row r="19" spans="1:5" ht="18.75" customHeight="1">
      <c r="A19" s="61" t="s">
        <v>141</v>
      </c>
      <c r="B19" s="61"/>
      <c r="C19" s="61"/>
      <c r="D19" s="61"/>
      <c r="E19" s="61"/>
    </row>
  </sheetData>
  <mergeCells count="7">
    <mergeCell ref="A18:E18"/>
    <mergeCell ref="A19:E19"/>
    <mergeCell ref="A1:E1"/>
    <mergeCell ref="A14:E14"/>
    <mergeCell ref="A15:E15"/>
    <mergeCell ref="A16:E16"/>
    <mergeCell ref="A17:E17"/>
  </mergeCells>
  <phoneticPr fontId="27" type="noConversion"/>
  <pageMargins left="0.75" right="0.75" top="1" bottom="1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① 신청서(양식)</vt:lpstr>
      <vt:lpstr>② 작성예시</vt:lpstr>
      <vt:lpstr>③ 요금제 단가표</vt:lpstr>
      <vt:lpstr>④ 처리 절차</vt:lpstr>
      <vt:lpstr>'① 신청서(양식)'!Print_Area</vt:lpstr>
      <vt:lpstr>'② 작성예시'!Print_Area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조국현 대리</cp:lastModifiedBy>
  <cp:revision>0</cp:revision>
  <cp:lastPrinted>2026-07-28T04:51:40Z</cp:lastPrinted>
  <dcterms:created xsi:type="dcterms:W3CDTF">2026-07-28T04:29:40Z</dcterms:created>
  <dcterms:modified xsi:type="dcterms:W3CDTF">2026-08-27T05:04:52Z</dcterms:modified>
  <dc:language>en-US</dc:language>
</cp:coreProperties>
</file>